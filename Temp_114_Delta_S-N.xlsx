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"/>
    </mc:Choice>
  </mc:AlternateContent>
  <xr:revisionPtr revIDLastSave="0" documentId="13_ncr:1_{2252FDC4-6B76-408B-94E9-CDC791F1EDBC}" xr6:coauthVersionLast="47" xr6:coauthVersionMax="47" xr10:uidLastSave="{00000000-0000-0000-0000-000000000000}"/>
  <bookViews>
    <workbookView xWindow="-28920" yWindow="-22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2" i="1"/>
  <c r="I80" i="1" l="1"/>
  <c r="L75" i="1" s="1"/>
  <c r="H80" i="1"/>
  <c r="K41" i="1" s="1"/>
  <c r="L7" i="1" l="1"/>
  <c r="L53" i="1"/>
  <c r="L28" i="1"/>
  <c r="L6" i="1"/>
  <c r="L72" i="1"/>
  <c r="K48" i="1"/>
  <c r="K70" i="1"/>
  <c r="L9" i="1"/>
  <c r="K33" i="1"/>
  <c r="K2" i="1"/>
  <c r="K34" i="1"/>
  <c r="K51" i="1"/>
  <c r="K52" i="1"/>
  <c r="K53" i="1"/>
  <c r="K9" i="1"/>
  <c r="K10" i="1"/>
  <c r="K11" i="1"/>
  <c r="K12" i="1"/>
  <c r="K13" i="1"/>
  <c r="K15" i="1"/>
  <c r="K28" i="1"/>
  <c r="K30" i="1"/>
  <c r="K31" i="1"/>
  <c r="K77" i="1"/>
  <c r="K35" i="1"/>
  <c r="K36" i="1"/>
  <c r="K37" i="1"/>
  <c r="K50" i="1"/>
  <c r="K6" i="1"/>
  <c r="K7" i="1"/>
  <c r="K8" i="1"/>
  <c r="K54" i="1"/>
  <c r="K55" i="1"/>
  <c r="K56" i="1"/>
  <c r="K57" i="1"/>
  <c r="K58" i="1"/>
  <c r="K59" i="1"/>
  <c r="K14" i="1"/>
  <c r="K71" i="1"/>
  <c r="K72" i="1"/>
  <c r="K73" i="1"/>
  <c r="K29" i="1"/>
  <c r="K74" i="1"/>
  <c r="K75" i="1"/>
  <c r="K76" i="1"/>
  <c r="K32" i="1"/>
  <c r="K17" i="1"/>
  <c r="K5" i="1"/>
  <c r="K27" i="1"/>
  <c r="L63" i="1"/>
  <c r="L18" i="1"/>
  <c r="L64" i="1"/>
  <c r="L44" i="1"/>
  <c r="L47" i="1"/>
  <c r="L62" i="1"/>
  <c r="L19" i="1"/>
  <c r="L65" i="1"/>
  <c r="L20" i="1"/>
  <c r="L66" i="1"/>
  <c r="L21" i="1"/>
  <c r="L67" i="1"/>
  <c r="L22" i="1"/>
  <c r="L68" i="1"/>
  <c r="L23" i="1"/>
  <c r="L69" i="1"/>
  <c r="L24" i="1"/>
  <c r="L25" i="1"/>
  <c r="L38" i="1"/>
  <c r="L39" i="1"/>
  <c r="L40" i="1"/>
  <c r="L41" i="1"/>
  <c r="L42" i="1"/>
  <c r="L43" i="1"/>
  <c r="L45" i="1"/>
  <c r="L46" i="1"/>
  <c r="L60" i="1"/>
  <c r="L3" i="1"/>
  <c r="L61" i="1"/>
  <c r="L16" i="1"/>
  <c r="L51" i="1"/>
  <c r="K49" i="1"/>
  <c r="K42" i="1"/>
  <c r="K24" i="1"/>
  <c r="K18" i="1"/>
  <c r="L26" i="1"/>
  <c r="K64" i="1"/>
  <c r="K46" i="1"/>
  <c r="L8" i="1"/>
  <c r="L48" i="1"/>
  <c r="L32" i="1"/>
  <c r="K68" i="1"/>
  <c r="L52" i="1"/>
  <c r="L5" i="1"/>
  <c r="L76" i="1"/>
  <c r="L14" i="1"/>
  <c r="K63" i="1"/>
  <c r="L27" i="1"/>
  <c r="K43" i="1"/>
  <c r="L36" i="1"/>
  <c r="L31" i="1"/>
  <c r="L71" i="1"/>
  <c r="L11" i="1"/>
  <c r="L58" i="1"/>
  <c r="K20" i="1"/>
  <c r="K16" i="1"/>
  <c r="L55" i="1"/>
  <c r="K3" i="1"/>
  <c r="L10" i="1"/>
  <c r="K60" i="1"/>
  <c r="K22" i="1"/>
  <c r="K25" i="1"/>
  <c r="L54" i="1"/>
  <c r="L50" i="1"/>
  <c r="K44" i="1"/>
  <c r="K47" i="1"/>
  <c r="K21" i="1"/>
  <c r="K39" i="1"/>
  <c r="L12" i="1"/>
  <c r="K69" i="1"/>
  <c r="K65" i="1"/>
  <c r="K61" i="1"/>
  <c r="L56" i="1"/>
  <c r="L15" i="1"/>
  <c r="L33" i="1"/>
  <c r="L29" i="1"/>
  <c r="L17" i="1"/>
  <c r="L37" i="1"/>
  <c r="L77" i="1"/>
  <c r="L73" i="1"/>
  <c r="K23" i="1"/>
  <c r="L59" i="1"/>
  <c r="K66" i="1"/>
  <c r="K40" i="1"/>
  <c r="K45" i="1"/>
  <c r="L4" i="1"/>
  <c r="L34" i="1"/>
  <c r="K62" i="1"/>
  <c r="K67" i="1"/>
  <c r="L70" i="1"/>
  <c r="L2" i="1"/>
  <c r="L30" i="1"/>
  <c r="L13" i="1"/>
  <c r="L49" i="1"/>
  <c r="K4" i="1"/>
  <c r="L74" i="1"/>
  <c r="L35" i="1"/>
  <c r="K38" i="1"/>
  <c r="K26" i="1"/>
  <c r="K19" i="1"/>
  <c r="L57" i="1"/>
</calcChain>
</file>

<file path=xl/sharedStrings.xml><?xml version="1.0" encoding="utf-8"?>
<sst xmlns="http://schemas.openxmlformats.org/spreadsheetml/2006/main" count="11" uniqueCount="11">
  <si>
    <t>D</t>
  </si>
  <si>
    <t>Delta Wet</t>
  </si>
  <si>
    <t>Delta Dry</t>
  </si>
  <si>
    <t>(Delta - D) Wet</t>
  </si>
  <si>
    <t>(Delta - D) Dry</t>
  </si>
  <si>
    <t>S1 Wet</t>
  </si>
  <si>
    <t>S1 Dry</t>
  </si>
  <si>
    <t>N Dry</t>
  </si>
  <si>
    <t>N Wet</t>
  </si>
  <si>
    <t>(S1 + Delta - D) Wet</t>
  </si>
  <si>
    <t>(S1 + Delta - D)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</si>
</sst>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 Delta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Wet Bulb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Sheet1!$A$2:$A$77</c:f>
              <c:numCache>
                <c:formatCode>h:mm</c:formatCode>
                <c:ptCount val="76"/>
                <c:pt idx="0">
                  <c:v>0.43402777777777779</c:v>
                </c:pt>
                <c:pt idx="1">
                  <c:v>0.4375</c:v>
                </c:pt>
                <c:pt idx="2">
                  <c:v>0.44097222222222199</c:v>
                </c:pt>
                <c:pt idx="3">
                  <c:v>0.44444444444444398</c:v>
                </c:pt>
                <c:pt idx="4">
                  <c:v>0.44791666666666702</c:v>
                </c:pt>
                <c:pt idx="5">
                  <c:v>0.45138888888888901</c:v>
                </c:pt>
                <c:pt idx="6">
                  <c:v>0.45486111111111099</c:v>
                </c:pt>
                <c:pt idx="7">
                  <c:v>0.45833333333333298</c:v>
                </c:pt>
                <c:pt idx="8">
                  <c:v>0.46180555555555503</c:v>
                </c:pt>
                <c:pt idx="9">
                  <c:v>0.46527777777777801</c:v>
                </c:pt>
                <c:pt idx="10">
                  <c:v>0.46875</c:v>
                </c:pt>
                <c:pt idx="11">
                  <c:v>0.47222222222222199</c:v>
                </c:pt>
                <c:pt idx="12">
                  <c:v>0.47569444444444398</c:v>
                </c:pt>
                <c:pt idx="13">
                  <c:v>0.47916666666666702</c:v>
                </c:pt>
                <c:pt idx="14">
                  <c:v>0.48263888888888901</c:v>
                </c:pt>
                <c:pt idx="15">
                  <c:v>0.48611111111111099</c:v>
                </c:pt>
                <c:pt idx="16">
                  <c:v>0.48958333333333298</c:v>
                </c:pt>
                <c:pt idx="17">
                  <c:v>0.49305555555555503</c:v>
                </c:pt>
                <c:pt idx="18">
                  <c:v>0.49652777777777801</c:v>
                </c:pt>
                <c:pt idx="19">
                  <c:v>0.5</c:v>
                </c:pt>
                <c:pt idx="20">
                  <c:v>0.50347222222222199</c:v>
                </c:pt>
                <c:pt idx="21">
                  <c:v>0.50694444444444398</c:v>
                </c:pt>
                <c:pt idx="22">
                  <c:v>0.51041666666666596</c:v>
                </c:pt>
                <c:pt idx="23">
                  <c:v>0.51388888888888895</c:v>
                </c:pt>
                <c:pt idx="24">
                  <c:v>0.51736111111111105</c:v>
                </c:pt>
                <c:pt idx="25">
                  <c:v>0.52083333333333304</c:v>
                </c:pt>
                <c:pt idx="26">
                  <c:v>0.52430555555555503</c:v>
                </c:pt>
                <c:pt idx="27">
                  <c:v>0.52777777777777701</c:v>
                </c:pt>
                <c:pt idx="28">
                  <c:v>0.53125</c:v>
                </c:pt>
                <c:pt idx="29">
                  <c:v>0.53472222222222199</c:v>
                </c:pt>
                <c:pt idx="30">
                  <c:v>0.53819444444444398</c:v>
                </c:pt>
                <c:pt idx="31">
                  <c:v>0.54166666666666696</c:v>
                </c:pt>
                <c:pt idx="32">
                  <c:v>0.54513888888888895</c:v>
                </c:pt>
                <c:pt idx="33">
                  <c:v>0.54861111111111105</c:v>
                </c:pt>
                <c:pt idx="34">
                  <c:v>0.55208333333333304</c:v>
                </c:pt>
                <c:pt idx="35">
                  <c:v>0.55555555555555503</c:v>
                </c:pt>
                <c:pt idx="36">
                  <c:v>0.55902777777777801</c:v>
                </c:pt>
                <c:pt idx="37">
                  <c:v>0.5625</c:v>
                </c:pt>
                <c:pt idx="38">
                  <c:v>0.56597222222222199</c:v>
                </c:pt>
                <c:pt idx="39">
                  <c:v>0.56944444444444398</c:v>
                </c:pt>
                <c:pt idx="40">
                  <c:v>0.57291666666666596</c:v>
                </c:pt>
                <c:pt idx="41">
                  <c:v>0.57638888888888895</c:v>
                </c:pt>
                <c:pt idx="42">
                  <c:v>0.57986111111111105</c:v>
                </c:pt>
                <c:pt idx="43">
                  <c:v>0.58333333333333304</c:v>
                </c:pt>
                <c:pt idx="44">
                  <c:v>0.58680555555555503</c:v>
                </c:pt>
                <c:pt idx="45">
                  <c:v>0.59027777777777701</c:v>
                </c:pt>
                <c:pt idx="46">
                  <c:v>0.59375</c:v>
                </c:pt>
                <c:pt idx="47">
                  <c:v>0.59722222222222199</c:v>
                </c:pt>
                <c:pt idx="48">
                  <c:v>0.60069444444444398</c:v>
                </c:pt>
                <c:pt idx="49">
                  <c:v>0.60416666666666596</c:v>
                </c:pt>
                <c:pt idx="50">
                  <c:v>0.60763888888888795</c:v>
                </c:pt>
                <c:pt idx="51">
                  <c:v>0.61111111111111105</c:v>
                </c:pt>
                <c:pt idx="52">
                  <c:v>0.61458333333333304</c:v>
                </c:pt>
                <c:pt idx="53">
                  <c:v>0.61805555555555503</c:v>
                </c:pt>
                <c:pt idx="54">
                  <c:v>0.62152777777777701</c:v>
                </c:pt>
                <c:pt idx="55">
                  <c:v>0.625</c:v>
                </c:pt>
                <c:pt idx="56">
                  <c:v>0.62847222222222199</c:v>
                </c:pt>
                <c:pt idx="57">
                  <c:v>0.63194444444444398</c:v>
                </c:pt>
                <c:pt idx="58">
                  <c:v>0.63541666666666596</c:v>
                </c:pt>
                <c:pt idx="59">
                  <c:v>0.63888888888888795</c:v>
                </c:pt>
                <c:pt idx="60">
                  <c:v>0.64236111111111105</c:v>
                </c:pt>
                <c:pt idx="61">
                  <c:v>0.64583333333333304</c:v>
                </c:pt>
                <c:pt idx="62">
                  <c:v>0.64930555555555503</c:v>
                </c:pt>
                <c:pt idx="63">
                  <c:v>0.65277777777777701</c:v>
                </c:pt>
                <c:pt idx="64">
                  <c:v>0.656249999999999</c:v>
                </c:pt>
                <c:pt idx="65">
                  <c:v>0.65972222222222199</c:v>
                </c:pt>
                <c:pt idx="66">
                  <c:v>0.66319444444444398</c:v>
                </c:pt>
                <c:pt idx="67">
                  <c:v>0.66666666666666596</c:v>
                </c:pt>
                <c:pt idx="68">
                  <c:v>0.67013888888888795</c:v>
                </c:pt>
                <c:pt idx="69">
                  <c:v>0.67361111111111005</c:v>
                </c:pt>
                <c:pt idx="70">
                  <c:v>0.67708333333333304</c:v>
                </c:pt>
                <c:pt idx="71">
                  <c:v>0.68055555555555503</c:v>
                </c:pt>
                <c:pt idx="72">
                  <c:v>0.68402777777777701</c:v>
                </c:pt>
                <c:pt idx="73">
                  <c:v>0.687499999999999</c:v>
                </c:pt>
                <c:pt idx="74">
                  <c:v>0.69097222222222199</c:v>
                </c:pt>
                <c:pt idx="75">
                  <c:v>0.69444444444444398</c:v>
                </c:pt>
              </c:numCache>
            </c:numRef>
          </c:cat>
          <c:val>
            <c:numRef>
              <c:f>Sheet1!$H$2:$H$77</c:f>
              <c:numCache>
                <c:formatCode>General</c:formatCode>
                <c:ptCount val="76"/>
                <c:pt idx="0">
                  <c:v>1.4000000000000004</c:v>
                </c:pt>
                <c:pt idx="1">
                  <c:v>0.69999999999999929</c:v>
                </c:pt>
                <c:pt idx="2">
                  <c:v>0.60000000000000142</c:v>
                </c:pt>
                <c:pt idx="3">
                  <c:v>0.5</c:v>
                </c:pt>
                <c:pt idx="4">
                  <c:v>0.29999999999999716</c:v>
                </c:pt>
                <c:pt idx="5">
                  <c:v>9.9999999999997868E-2</c:v>
                </c:pt>
                <c:pt idx="6">
                  <c:v>-9.9999999999999645E-2</c:v>
                </c:pt>
                <c:pt idx="7">
                  <c:v>0.10000000000000142</c:v>
                </c:pt>
                <c:pt idx="8">
                  <c:v>0.30000000000000071</c:v>
                </c:pt>
                <c:pt idx="9">
                  <c:v>0.30000000000000071</c:v>
                </c:pt>
                <c:pt idx="10">
                  <c:v>0.59999999999999964</c:v>
                </c:pt>
                <c:pt idx="11">
                  <c:v>0.60000000000000142</c:v>
                </c:pt>
                <c:pt idx="12">
                  <c:v>0.80000000000000071</c:v>
                </c:pt>
                <c:pt idx="13">
                  <c:v>0.59999999999999787</c:v>
                </c:pt>
                <c:pt idx="14">
                  <c:v>9.9999999999997868E-2</c:v>
                </c:pt>
                <c:pt idx="15">
                  <c:v>1.3000000000000007</c:v>
                </c:pt>
                <c:pt idx="16">
                  <c:v>1.6999999999999993</c:v>
                </c:pt>
                <c:pt idx="17">
                  <c:v>1.6999999999999993</c:v>
                </c:pt>
                <c:pt idx="18">
                  <c:v>1.6999999999999993</c:v>
                </c:pt>
                <c:pt idx="19">
                  <c:v>2.3000000000000007</c:v>
                </c:pt>
                <c:pt idx="20">
                  <c:v>2.6000000000000014</c:v>
                </c:pt>
                <c:pt idx="21">
                  <c:v>4.8000000000000007</c:v>
                </c:pt>
                <c:pt idx="22">
                  <c:v>2.7999999999999989</c:v>
                </c:pt>
                <c:pt idx="23">
                  <c:v>4</c:v>
                </c:pt>
                <c:pt idx="24">
                  <c:v>4.0999999999999996</c:v>
                </c:pt>
                <c:pt idx="25">
                  <c:v>4.8999999999999986</c:v>
                </c:pt>
                <c:pt idx="26">
                  <c:v>5.4000000000000021</c:v>
                </c:pt>
                <c:pt idx="27">
                  <c:v>5.4000000000000021</c:v>
                </c:pt>
                <c:pt idx="28">
                  <c:v>5.4</c:v>
                </c:pt>
                <c:pt idx="29">
                  <c:v>5.1999999999999993</c:v>
                </c:pt>
                <c:pt idx="30">
                  <c:v>5.2000000000000011</c:v>
                </c:pt>
                <c:pt idx="31">
                  <c:v>5.4</c:v>
                </c:pt>
                <c:pt idx="32">
                  <c:v>5.0999999999999996</c:v>
                </c:pt>
                <c:pt idx="33">
                  <c:v>5.1999999999999993</c:v>
                </c:pt>
                <c:pt idx="34">
                  <c:v>5.1000000000000014</c:v>
                </c:pt>
                <c:pt idx="35">
                  <c:v>5.1000000000000014</c:v>
                </c:pt>
                <c:pt idx="36">
                  <c:v>5.0000000000000018</c:v>
                </c:pt>
                <c:pt idx="37">
                  <c:v>6.7999999999999989</c:v>
                </c:pt>
                <c:pt idx="38">
                  <c:v>5.8999999999999986</c:v>
                </c:pt>
                <c:pt idx="39">
                  <c:v>7.6999999999999993</c:v>
                </c:pt>
                <c:pt idx="40">
                  <c:v>7.8999999999999986</c:v>
                </c:pt>
                <c:pt idx="41">
                  <c:v>9.1</c:v>
                </c:pt>
                <c:pt idx="42">
                  <c:v>7.7000000000000011</c:v>
                </c:pt>
                <c:pt idx="43">
                  <c:v>6.6999999999999993</c:v>
                </c:pt>
                <c:pt idx="44">
                  <c:v>10.100000000000001</c:v>
                </c:pt>
                <c:pt idx="45">
                  <c:v>9.8000000000000007</c:v>
                </c:pt>
                <c:pt idx="46">
                  <c:v>9.8000000000000007</c:v>
                </c:pt>
                <c:pt idx="47">
                  <c:v>9.7000000000000011</c:v>
                </c:pt>
                <c:pt idx="48">
                  <c:v>9.9</c:v>
                </c:pt>
                <c:pt idx="49">
                  <c:v>9.6</c:v>
                </c:pt>
                <c:pt idx="50">
                  <c:v>7.7000000000000011</c:v>
                </c:pt>
                <c:pt idx="51">
                  <c:v>7.5000000000000018</c:v>
                </c:pt>
                <c:pt idx="52">
                  <c:v>8.6999999999999993</c:v>
                </c:pt>
                <c:pt idx="53">
                  <c:v>10.3</c:v>
                </c:pt>
                <c:pt idx="54">
                  <c:v>8.1999999999999993</c:v>
                </c:pt>
                <c:pt idx="55">
                  <c:v>6.5999999999999979</c:v>
                </c:pt>
                <c:pt idx="56">
                  <c:v>5.9</c:v>
                </c:pt>
                <c:pt idx="57">
                  <c:v>7.8000000000000007</c:v>
                </c:pt>
                <c:pt idx="58">
                  <c:v>9.3000000000000007</c:v>
                </c:pt>
                <c:pt idx="59">
                  <c:v>9.4000000000000021</c:v>
                </c:pt>
                <c:pt idx="60">
                  <c:v>7.4000000000000021</c:v>
                </c:pt>
                <c:pt idx="61">
                  <c:v>7.1000000000000014</c:v>
                </c:pt>
                <c:pt idx="62">
                  <c:v>8.6999999999999993</c:v>
                </c:pt>
                <c:pt idx="63">
                  <c:v>9.1</c:v>
                </c:pt>
                <c:pt idx="64">
                  <c:v>10.100000000000001</c:v>
                </c:pt>
                <c:pt idx="65">
                  <c:v>8.5000000000000018</c:v>
                </c:pt>
                <c:pt idx="66">
                  <c:v>7.8000000000000007</c:v>
                </c:pt>
                <c:pt idx="67">
                  <c:v>8</c:v>
                </c:pt>
                <c:pt idx="68">
                  <c:v>7.5</c:v>
                </c:pt>
                <c:pt idx="69">
                  <c:v>8.1</c:v>
                </c:pt>
                <c:pt idx="70">
                  <c:v>7.5000000000000018</c:v>
                </c:pt>
                <c:pt idx="71">
                  <c:v>6.5</c:v>
                </c:pt>
                <c:pt idx="72">
                  <c:v>5.7000000000000011</c:v>
                </c:pt>
                <c:pt idx="73">
                  <c:v>5.7999999999999989</c:v>
                </c:pt>
                <c:pt idx="74">
                  <c:v>2.8000000000000007</c:v>
                </c:pt>
                <c:pt idx="75">
                  <c:v>2.1999999999999993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1-42DA-9FB5-8E00BC02A280}"/>
            </c:ext>
          </c:extLst>
        </c:ser>
        <c:ser>
          <c:idx val="1"/>
          <c:order val="1"/>
          <c:tx>
            <c:v>Dry Bulb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Sheet1!$A$2:$A$77</c:f>
              <c:numCache>
                <c:formatCode>h:mm</c:formatCode>
                <c:ptCount val="76"/>
                <c:pt idx="0">
                  <c:v>0.43402777777777779</c:v>
                </c:pt>
                <c:pt idx="1">
                  <c:v>0.4375</c:v>
                </c:pt>
                <c:pt idx="2">
                  <c:v>0.44097222222222199</c:v>
                </c:pt>
                <c:pt idx="3">
                  <c:v>0.44444444444444398</c:v>
                </c:pt>
                <c:pt idx="4">
                  <c:v>0.44791666666666702</c:v>
                </c:pt>
                <c:pt idx="5">
                  <c:v>0.45138888888888901</c:v>
                </c:pt>
                <c:pt idx="6">
                  <c:v>0.45486111111111099</c:v>
                </c:pt>
                <c:pt idx="7">
                  <c:v>0.45833333333333298</c:v>
                </c:pt>
                <c:pt idx="8">
                  <c:v>0.46180555555555503</c:v>
                </c:pt>
                <c:pt idx="9">
                  <c:v>0.46527777777777801</c:v>
                </c:pt>
                <c:pt idx="10">
                  <c:v>0.46875</c:v>
                </c:pt>
                <c:pt idx="11">
                  <c:v>0.47222222222222199</c:v>
                </c:pt>
                <c:pt idx="12">
                  <c:v>0.47569444444444398</c:v>
                </c:pt>
                <c:pt idx="13">
                  <c:v>0.47916666666666702</c:v>
                </c:pt>
                <c:pt idx="14">
                  <c:v>0.48263888888888901</c:v>
                </c:pt>
                <c:pt idx="15">
                  <c:v>0.48611111111111099</c:v>
                </c:pt>
                <c:pt idx="16">
                  <c:v>0.48958333333333298</c:v>
                </c:pt>
                <c:pt idx="17">
                  <c:v>0.49305555555555503</c:v>
                </c:pt>
                <c:pt idx="18">
                  <c:v>0.49652777777777801</c:v>
                </c:pt>
                <c:pt idx="19">
                  <c:v>0.5</c:v>
                </c:pt>
                <c:pt idx="20">
                  <c:v>0.50347222222222199</c:v>
                </c:pt>
                <c:pt idx="21">
                  <c:v>0.50694444444444398</c:v>
                </c:pt>
                <c:pt idx="22">
                  <c:v>0.51041666666666596</c:v>
                </c:pt>
                <c:pt idx="23">
                  <c:v>0.51388888888888895</c:v>
                </c:pt>
                <c:pt idx="24">
                  <c:v>0.51736111111111105</c:v>
                </c:pt>
                <c:pt idx="25">
                  <c:v>0.52083333333333304</c:v>
                </c:pt>
                <c:pt idx="26">
                  <c:v>0.52430555555555503</c:v>
                </c:pt>
                <c:pt idx="27">
                  <c:v>0.52777777777777701</c:v>
                </c:pt>
                <c:pt idx="28">
                  <c:v>0.53125</c:v>
                </c:pt>
                <c:pt idx="29">
                  <c:v>0.53472222222222199</c:v>
                </c:pt>
                <c:pt idx="30">
                  <c:v>0.53819444444444398</c:v>
                </c:pt>
                <c:pt idx="31">
                  <c:v>0.54166666666666696</c:v>
                </c:pt>
                <c:pt idx="32">
                  <c:v>0.54513888888888895</c:v>
                </c:pt>
                <c:pt idx="33">
                  <c:v>0.54861111111111105</c:v>
                </c:pt>
                <c:pt idx="34">
                  <c:v>0.55208333333333304</c:v>
                </c:pt>
                <c:pt idx="35">
                  <c:v>0.55555555555555503</c:v>
                </c:pt>
                <c:pt idx="36">
                  <c:v>0.55902777777777801</c:v>
                </c:pt>
                <c:pt idx="37">
                  <c:v>0.5625</c:v>
                </c:pt>
                <c:pt idx="38">
                  <c:v>0.56597222222222199</c:v>
                </c:pt>
                <c:pt idx="39">
                  <c:v>0.56944444444444398</c:v>
                </c:pt>
                <c:pt idx="40">
                  <c:v>0.57291666666666596</c:v>
                </c:pt>
                <c:pt idx="41">
                  <c:v>0.57638888888888895</c:v>
                </c:pt>
                <c:pt idx="42">
                  <c:v>0.57986111111111105</c:v>
                </c:pt>
                <c:pt idx="43">
                  <c:v>0.58333333333333304</c:v>
                </c:pt>
                <c:pt idx="44">
                  <c:v>0.58680555555555503</c:v>
                </c:pt>
                <c:pt idx="45">
                  <c:v>0.59027777777777701</c:v>
                </c:pt>
                <c:pt idx="46">
                  <c:v>0.59375</c:v>
                </c:pt>
                <c:pt idx="47">
                  <c:v>0.59722222222222199</c:v>
                </c:pt>
                <c:pt idx="48">
                  <c:v>0.60069444444444398</c:v>
                </c:pt>
                <c:pt idx="49">
                  <c:v>0.60416666666666596</c:v>
                </c:pt>
                <c:pt idx="50">
                  <c:v>0.60763888888888795</c:v>
                </c:pt>
                <c:pt idx="51">
                  <c:v>0.61111111111111105</c:v>
                </c:pt>
                <c:pt idx="52">
                  <c:v>0.61458333333333304</c:v>
                </c:pt>
                <c:pt idx="53">
                  <c:v>0.61805555555555503</c:v>
                </c:pt>
                <c:pt idx="54">
                  <c:v>0.62152777777777701</c:v>
                </c:pt>
                <c:pt idx="55">
                  <c:v>0.625</c:v>
                </c:pt>
                <c:pt idx="56">
                  <c:v>0.62847222222222199</c:v>
                </c:pt>
                <c:pt idx="57">
                  <c:v>0.63194444444444398</c:v>
                </c:pt>
                <c:pt idx="58">
                  <c:v>0.63541666666666596</c:v>
                </c:pt>
                <c:pt idx="59">
                  <c:v>0.63888888888888795</c:v>
                </c:pt>
                <c:pt idx="60">
                  <c:v>0.64236111111111105</c:v>
                </c:pt>
                <c:pt idx="61">
                  <c:v>0.64583333333333304</c:v>
                </c:pt>
                <c:pt idx="62">
                  <c:v>0.64930555555555503</c:v>
                </c:pt>
                <c:pt idx="63">
                  <c:v>0.65277777777777701</c:v>
                </c:pt>
                <c:pt idx="64">
                  <c:v>0.656249999999999</c:v>
                </c:pt>
                <c:pt idx="65">
                  <c:v>0.65972222222222199</c:v>
                </c:pt>
                <c:pt idx="66">
                  <c:v>0.66319444444444398</c:v>
                </c:pt>
                <c:pt idx="67">
                  <c:v>0.66666666666666596</c:v>
                </c:pt>
                <c:pt idx="68">
                  <c:v>0.67013888888888795</c:v>
                </c:pt>
                <c:pt idx="69">
                  <c:v>0.67361111111111005</c:v>
                </c:pt>
                <c:pt idx="70">
                  <c:v>0.67708333333333304</c:v>
                </c:pt>
                <c:pt idx="71">
                  <c:v>0.68055555555555503</c:v>
                </c:pt>
                <c:pt idx="72">
                  <c:v>0.68402777777777701</c:v>
                </c:pt>
                <c:pt idx="73">
                  <c:v>0.687499999999999</c:v>
                </c:pt>
                <c:pt idx="74">
                  <c:v>0.69097222222222199</c:v>
                </c:pt>
                <c:pt idx="75">
                  <c:v>0.69444444444444398</c:v>
                </c:pt>
              </c:numCache>
            </c:numRef>
          </c:cat>
          <c:val>
            <c:numRef>
              <c:f>Sheet1!$I$2:$I$77</c:f>
              <c:numCache>
                <c:formatCode>General</c:formatCode>
                <c:ptCount val="76"/>
                <c:pt idx="0">
                  <c:v>1</c:v>
                </c:pt>
                <c:pt idx="1">
                  <c:v>0.89999999999999858</c:v>
                </c:pt>
                <c:pt idx="2">
                  <c:v>0.80000000000000071</c:v>
                </c:pt>
                <c:pt idx="3">
                  <c:v>0.70000000000000284</c:v>
                </c:pt>
                <c:pt idx="4">
                  <c:v>0.39999999999999858</c:v>
                </c:pt>
                <c:pt idx="5">
                  <c:v>0.30000000000000071</c:v>
                </c:pt>
                <c:pt idx="6">
                  <c:v>-0.10000000000000142</c:v>
                </c:pt>
                <c:pt idx="7">
                  <c:v>-0.10000000000000142</c:v>
                </c:pt>
                <c:pt idx="8">
                  <c:v>0.30000000000000071</c:v>
                </c:pt>
                <c:pt idx="9">
                  <c:v>0.5</c:v>
                </c:pt>
                <c:pt idx="10">
                  <c:v>1.0999999999999979</c:v>
                </c:pt>
                <c:pt idx="11">
                  <c:v>1.5</c:v>
                </c:pt>
                <c:pt idx="12">
                  <c:v>1.5999999999999979</c:v>
                </c:pt>
                <c:pt idx="13">
                  <c:v>1.4000000000000021</c:v>
                </c:pt>
                <c:pt idx="14">
                  <c:v>0.79999999999999716</c:v>
                </c:pt>
                <c:pt idx="15">
                  <c:v>1</c:v>
                </c:pt>
                <c:pt idx="16">
                  <c:v>1.1999999999999993</c:v>
                </c:pt>
                <c:pt idx="17">
                  <c:v>1.1999999999999993</c:v>
                </c:pt>
                <c:pt idx="18">
                  <c:v>1.2000000000000028</c:v>
                </c:pt>
                <c:pt idx="19">
                  <c:v>1.3999999999999986</c:v>
                </c:pt>
                <c:pt idx="20">
                  <c:v>1.6999999999999993</c:v>
                </c:pt>
                <c:pt idx="21">
                  <c:v>3.1999999999999993</c:v>
                </c:pt>
                <c:pt idx="22">
                  <c:v>2.3999999999999986</c:v>
                </c:pt>
                <c:pt idx="23">
                  <c:v>3</c:v>
                </c:pt>
                <c:pt idx="24">
                  <c:v>3.2000000000000028</c:v>
                </c:pt>
                <c:pt idx="25">
                  <c:v>3.8999999999999986</c:v>
                </c:pt>
                <c:pt idx="26">
                  <c:v>4.3000000000000007</c:v>
                </c:pt>
                <c:pt idx="27">
                  <c:v>4.5</c:v>
                </c:pt>
                <c:pt idx="28">
                  <c:v>4.6000000000000014</c:v>
                </c:pt>
                <c:pt idx="29">
                  <c:v>4.5</c:v>
                </c:pt>
                <c:pt idx="30">
                  <c:v>4.5</c:v>
                </c:pt>
                <c:pt idx="31">
                  <c:v>4.6000000000000014</c:v>
                </c:pt>
                <c:pt idx="32">
                  <c:v>4.5</c:v>
                </c:pt>
                <c:pt idx="33">
                  <c:v>4.6000000000000014</c:v>
                </c:pt>
                <c:pt idx="34">
                  <c:v>4.5</c:v>
                </c:pt>
                <c:pt idx="35">
                  <c:v>4.5</c:v>
                </c:pt>
                <c:pt idx="36">
                  <c:v>4.3999999999999986</c:v>
                </c:pt>
                <c:pt idx="37">
                  <c:v>7</c:v>
                </c:pt>
                <c:pt idx="38">
                  <c:v>7.3999999999999986</c:v>
                </c:pt>
                <c:pt idx="39">
                  <c:v>9.2000000000000028</c:v>
                </c:pt>
                <c:pt idx="40">
                  <c:v>9.6000000000000014</c:v>
                </c:pt>
                <c:pt idx="41">
                  <c:v>11</c:v>
                </c:pt>
                <c:pt idx="42">
                  <c:v>10</c:v>
                </c:pt>
                <c:pt idx="43">
                  <c:v>8.5</c:v>
                </c:pt>
                <c:pt idx="44">
                  <c:v>11.899999999999999</c:v>
                </c:pt>
                <c:pt idx="45">
                  <c:v>11.899999999999999</c:v>
                </c:pt>
                <c:pt idx="46">
                  <c:v>12.2</c:v>
                </c:pt>
                <c:pt idx="47">
                  <c:v>12.100000000000001</c:v>
                </c:pt>
                <c:pt idx="48">
                  <c:v>12.399999999999999</c:v>
                </c:pt>
                <c:pt idx="49">
                  <c:v>12.399999999999999</c:v>
                </c:pt>
                <c:pt idx="50">
                  <c:v>9.6000000000000014</c:v>
                </c:pt>
                <c:pt idx="51">
                  <c:v>8.8000000000000007</c:v>
                </c:pt>
                <c:pt idx="52">
                  <c:v>10</c:v>
                </c:pt>
                <c:pt idx="53">
                  <c:v>12.2</c:v>
                </c:pt>
                <c:pt idx="54">
                  <c:v>10.200000000000003</c:v>
                </c:pt>
                <c:pt idx="55">
                  <c:v>8</c:v>
                </c:pt>
                <c:pt idx="56">
                  <c:v>6.5</c:v>
                </c:pt>
                <c:pt idx="57">
                  <c:v>8.3999999999999986</c:v>
                </c:pt>
                <c:pt idx="58">
                  <c:v>10.399999999999999</c:v>
                </c:pt>
                <c:pt idx="59">
                  <c:v>11.100000000000001</c:v>
                </c:pt>
                <c:pt idx="60">
                  <c:v>9.1000000000000014</c:v>
                </c:pt>
                <c:pt idx="61">
                  <c:v>8.1000000000000014</c:v>
                </c:pt>
                <c:pt idx="62">
                  <c:v>10.100000000000001</c:v>
                </c:pt>
                <c:pt idx="63">
                  <c:v>10.899999999999999</c:v>
                </c:pt>
                <c:pt idx="64">
                  <c:v>14.100000000000001</c:v>
                </c:pt>
                <c:pt idx="65">
                  <c:v>12.3</c:v>
                </c:pt>
                <c:pt idx="66">
                  <c:v>11.3</c:v>
                </c:pt>
                <c:pt idx="67">
                  <c:v>10.899999999999999</c:v>
                </c:pt>
                <c:pt idx="68">
                  <c:v>9.8999999999999986</c:v>
                </c:pt>
                <c:pt idx="69">
                  <c:v>10</c:v>
                </c:pt>
                <c:pt idx="70">
                  <c:v>9.1999999999999993</c:v>
                </c:pt>
                <c:pt idx="71">
                  <c:v>7.5</c:v>
                </c:pt>
                <c:pt idx="72">
                  <c:v>6.3000000000000007</c:v>
                </c:pt>
                <c:pt idx="73">
                  <c:v>6.3999999999999986</c:v>
                </c:pt>
                <c:pt idx="74">
                  <c:v>5.3000000000000007</c:v>
                </c:pt>
                <c:pt idx="75">
                  <c:v>4.6000000000000014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1-42DA-9FB5-8E00BC02A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824192"/>
        <c:axId val="1062795392"/>
      </c:lineChart>
      <c:catAx>
        <c:axId val="106282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layout>
            <c:manualLayout>
              <c:xMode val="edge"/>
              <c:yMode val="edge"/>
              <c:x val="0.41619934089708432"/>
              <c:y val="0.857247989986652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795392"/>
        <c:crossesAt val="-2"/>
        <c:auto val="1"/>
        <c:lblAlgn val="ctr"/>
        <c:lblOffset val="100"/>
        <c:noMultiLvlLbl val="0"/>
      </c:catAx>
      <c:valAx>
        <c:axId val="1062795392"/>
        <c:scaling>
          <c:orientation val="minMax"/>
          <c:max val="1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Temperature </a:t>
                </a:r>
                <a:r>
                  <a:rPr lang="en-US" sz="10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(˚C)</a:t>
                </a: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2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762203047302791"/>
          <c:y val="0.91163630093683545"/>
          <c:w val="0.28922777624043"/>
          <c:h val="5.474490871122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Sheet1!$H$28:$H$38</c:f>
              <c:numCache>
                <c:formatCode>General</c:formatCode>
                <c:ptCount val="11"/>
                <c:pt idx="0">
                  <c:v>5.4000000000000021</c:v>
                </c:pt>
                <c:pt idx="1">
                  <c:v>5.4000000000000021</c:v>
                </c:pt>
                <c:pt idx="2">
                  <c:v>5.4</c:v>
                </c:pt>
                <c:pt idx="3">
                  <c:v>5.1999999999999993</c:v>
                </c:pt>
                <c:pt idx="4">
                  <c:v>5.2000000000000011</c:v>
                </c:pt>
                <c:pt idx="5">
                  <c:v>5.4</c:v>
                </c:pt>
                <c:pt idx="6">
                  <c:v>5.0999999999999996</c:v>
                </c:pt>
                <c:pt idx="7">
                  <c:v>5.1999999999999993</c:v>
                </c:pt>
                <c:pt idx="8">
                  <c:v>5.1000000000000014</c:v>
                </c:pt>
                <c:pt idx="9">
                  <c:v>5.1000000000000014</c:v>
                </c:pt>
                <c:pt idx="10">
                  <c:v>5.0000000000000018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8-433A-A21E-CA8318FD36E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Sheet1!$I$28:$I$38</c:f>
              <c:numCache>
                <c:formatCode>General</c:formatCode>
                <c:ptCount val="11"/>
                <c:pt idx="0">
                  <c:v>4.3000000000000007</c:v>
                </c:pt>
                <c:pt idx="1">
                  <c:v>4.5</c:v>
                </c:pt>
                <c:pt idx="2">
                  <c:v>4.6000000000000014</c:v>
                </c:pt>
                <c:pt idx="3">
                  <c:v>4.5</c:v>
                </c:pt>
                <c:pt idx="4">
                  <c:v>4.5</c:v>
                </c:pt>
                <c:pt idx="5">
                  <c:v>4.6000000000000014</c:v>
                </c:pt>
                <c:pt idx="6">
                  <c:v>4.5</c:v>
                </c:pt>
                <c:pt idx="7">
                  <c:v>4.6000000000000014</c:v>
                </c:pt>
                <c:pt idx="8">
                  <c:v>4.5</c:v>
                </c:pt>
                <c:pt idx="9">
                  <c:v>4.5</c:v>
                </c:pt>
                <c:pt idx="10">
                  <c:v>4.3999999999999986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8-433A-A21E-CA8318FD3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470719"/>
        <c:axId val="823472159"/>
      </c:lineChart>
      <c:catAx>
        <c:axId val="823470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72159"/>
        <c:crosses val="autoZero"/>
        <c:auto val="1"/>
        <c:lblAlgn val="ctr"/>
        <c:lblOffset val="100"/>
        <c:noMultiLvlLbl val="0"/>
      </c:catAx>
      <c:valAx>
        <c:axId val="82347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7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114 Delta -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Wet Bulb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Sheet1!$A$2:$A$77</c:f>
              <c:numCache>
                <c:formatCode>h:mm</c:formatCode>
                <c:ptCount val="76"/>
                <c:pt idx="0">
                  <c:v>0.43402777777777779</c:v>
                </c:pt>
                <c:pt idx="1">
                  <c:v>0.4375</c:v>
                </c:pt>
                <c:pt idx="2">
                  <c:v>0.44097222222222199</c:v>
                </c:pt>
                <c:pt idx="3">
                  <c:v>0.44444444444444398</c:v>
                </c:pt>
                <c:pt idx="4">
                  <c:v>0.44791666666666702</c:v>
                </c:pt>
                <c:pt idx="5">
                  <c:v>0.45138888888888901</c:v>
                </c:pt>
                <c:pt idx="6">
                  <c:v>0.45486111111111099</c:v>
                </c:pt>
                <c:pt idx="7">
                  <c:v>0.45833333333333298</c:v>
                </c:pt>
                <c:pt idx="8">
                  <c:v>0.46180555555555503</c:v>
                </c:pt>
                <c:pt idx="9">
                  <c:v>0.46527777777777801</c:v>
                </c:pt>
                <c:pt idx="10">
                  <c:v>0.46875</c:v>
                </c:pt>
                <c:pt idx="11">
                  <c:v>0.47222222222222199</c:v>
                </c:pt>
                <c:pt idx="12">
                  <c:v>0.47569444444444398</c:v>
                </c:pt>
                <c:pt idx="13">
                  <c:v>0.47916666666666702</c:v>
                </c:pt>
                <c:pt idx="14">
                  <c:v>0.48263888888888901</c:v>
                </c:pt>
                <c:pt idx="15">
                  <c:v>0.48611111111111099</c:v>
                </c:pt>
                <c:pt idx="16">
                  <c:v>0.48958333333333298</c:v>
                </c:pt>
                <c:pt idx="17">
                  <c:v>0.49305555555555503</c:v>
                </c:pt>
                <c:pt idx="18">
                  <c:v>0.49652777777777801</c:v>
                </c:pt>
                <c:pt idx="19">
                  <c:v>0.5</c:v>
                </c:pt>
                <c:pt idx="20">
                  <c:v>0.50347222222222199</c:v>
                </c:pt>
                <c:pt idx="21">
                  <c:v>0.50694444444444398</c:v>
                </c:pt>
                <c:pt idx="22">
                  <c:v>0.51041666666666596</c:v>
                </c:pt>
                <c:pt idx="23">
                  <c:v>0.51388888888888895</c:v>
                </c:pt>
                <c:pt idx="24">
                  <c:v>0.51736111111111105</c:v>
                </c:pt>
                <c:pt idx="25">
                  <c:v>0.52083333333333304</c:v>
                </c:pt>
                <c:pt idx="26">
                  <c:v>0.52430555555555503</c:v>
                </c:pt>
                <c:pt idx="27">
                  <c:v>0.52777777777777701</c:v>
                </c:pt>
                <c:pt idx="28">
                  <c:v>0.53125</c:v>
                </c:pt>
                <c:pt idx="29">
                  <c:v>0.53472222222222199</c:v>
                </c:pt>
                <c:pt idx="30">
                  <c:v>0.53819444444444398</c:v>
                </c:pt>
                <c:pt idx="31">
                  <c:v>0.54166666666666696</c:v>
                </c:pt>
                <c:pt idx="32">
                  <c:v>0.54513888888888895</c:v>
                </c:pt>
                <c:pt idx="33">
                  <c:v>0.54861111111111105</c:v>
                </c:pt>
                <c:pt idx="34">
                  <c:v>0.55208333333333304</c:v>
                </c:pt>
                <c:pt idx="35">
                  <c:v>0.55555555555555503</c:v>
                </c:pt>
                <c:pt idx="36">
                  <c:v>0.55902777777777801</c:v>
                </c:pt>
                <c:pt idx="37">
                  <c:v>0.5625</c:v>
                </c:pt>
                <c:pt idx="38">
                  <c:v>0.56597222222222199</c:v>
                </c:pt>
                <c:pt idx="39">
                  <c:v>0.56944444444444398</c:v>
                </c:pt>
                <c:pt idx="40">
                  <c:v>0.57291666666666596</c:v>
                </c:pt>
                <c:pt idx="41">
                  <c:v>0.57638888888888895</c:v>
                </c:pt>
                <c:pt idx="42">
                  <c:v>0.57986111111111105</c:v>
                </c:pt>
                <c:pt idx="43">
                  <c:v>0.58333333333333304</c:v>
                </c:pt>
                <c:pt idx="44">
                  <c:v>0.58680555555555503</c:v>
                </c:pt>
                <c:pt idx="45">
                  <c:v>0.59027777777777701</c:v>
                </c:pt>
                <c:pt idx="46">
                  <c:v>0.59375</c:v>
                </c:pt>
                <c:pt idx="47">
                  <c:v>0.59722222222222199</c:v>
                </c:pt>
                <c:pt idx="48">
                  <c:v>0.60069444444444398</c:v>
                </c:pt>
                <c:pt idx="49">
                  <c:v>0.60416666666666596</c:v>
                </c:pt>
                <c:pt idx="50">
                  <c:v>0.60763888888888795</c:v>
                </c:pt>
                <c:pt idx="51">
                  <c:v>0.61111111111111105</c:v>
                </c:pt>
                <c:pt idx="52">
                  <c:v>0.61458333333333304</c:v>
                </c:pt>
                <c:pt idx="53">
                  <c:v>0.61805555555555503</c:v>
                </c:pt>
                <c:pt idx="54">
                  <c:v>0.62152777777777701</c:v>
                </c:pt>
                <c:pt idx="55">
                  <c:v>0.625</c:v>
                </c:pt>
                <c:pt idx="56">
                  <c:v>0.62847222222222199</c:v>
                </c:pt>
                <c:pt idx="57">
                  <c:v>0.63194444444444398</c:v>
                </c:pt>
                <c:pt idx="58">
                  <c:v>0.63541666666666596</c:v>
                </c:pt>
                <c:pt idx="59">
                  <c:v>0.63888888888888795</c:v>
                </c:pt>
                <c:pt idx="60">
                  <c:v>0.64236111111111105</c:v>
                </c:pt>
                <c:pt idx="61">
                  <c:v>0.64583333333333304</c:v>
                </c:pt>
                <c:pt idx="62">
                  <c:v>0.64930555555555503</c:v>
                </c:pt>
                <c:pt idx="63">
                  <c:v>0.65277777777777701</c:v>
                </c:pt>
                <c:pt idx="64">
                  <c:v>0.656249999999999</c:v>
                </c:pt>
                <c:pt idx="65">
                  <c:v>0.65972222222222199</c:v>
                </c:pt>
                <c:pt idx="66">
                  <c:v>0.66319444444444398</c:v>
                </c:pt>
                <c:pt idx="67">
                  <c:v>0.66666666666666596</c:v>
                </c:pt>
                <c:pt idx="68">
                  <c:v>0.67013888888888795</c:v>
                </c:pt>
                <c:pt idx="69">
                  <c:v>0.67361111111111005</c:v>
                </c:pt>
                <c:pt idx="70">
                  <c:v>0.67708333333333304</c:v>
                </c:pt>
                <c:pt idx="71">
                  <c:v>0.68055555555555503</c:v>
                </c:pt>
                <c:pt idx="72">
                  <c:v>0.68402777777777701</c:v>
                </c:pt>
                <c:pt idx="73">
                  <c:v>0.687499999999999</c:v>
                </c:pt>
                <c:pt idx="74">
                  <c:v>0.69097222222222199</c:v>
                </c:pt>
                <c:pt idx="75">
                  <c:v>0.69444444444444398</c:v>
                </c:pt>
              </c:numCache>
            </c:numRef>
          </c:cat>
          <c:val>
            <c:numRef>
              <c:f>Sheet1!$K$2:$K$77</c:f>
              <c:numCache>
                <c:formatCode>General</c:formatCode>
                <c:ptCount val="76"/>
                <c:pt idx="0">
                  <c:v>-3.8272727272727272</c:v>
                </c:pt>
                <c:pt idx="1">
                  <c:v>-4.5272727272727282</c:v>
                </c:pt>
                <c:pt idx="2">
                  <c:v>-4.6272727272727261</c:v>
                </c:pt>
                <c:pt idx="3">
                  <c:v>-4.7272727272727275</c:v>
                </c:pt>
                <c:pt idx="4">
                  <c:v>-4.9272727272727304</c:v>
                </c:pt>
                <c:pt idx="5">
                  <c:v>-5.1272727272727296</c:v>
                </c:pt>
                <c:pt idx="6">
                  <c:v>-5.3272727272727272</c:v>
                </c:pt>
                <c:pt idx="7">
                  <c:v>-5.1272727272727261</c:v>
                </c:pt>
                <c:pt idx="8">
                  <c:v>-4.9272727272727268</c:v>
                </c:pt>
                <c:pt idx="9">
                  <c:v>-4.9272727272727268</c:v>
                </c:pt>
                <c:pt idx="10">
                  <c:v>-4.6272727272727279</c:v>
                </c:pt>
                <c:pt idx="11">
                  <c:v>-4.6272727272727261</c:v>
                </c:pt>
                <c:pt idx="12">
                  <c:v>-4.4272727272727268</c:v>
                </c:pt>
                <c:pt idx="13">
                  <c:v>-4.6272727272727296</c:v>
                </c:pt>
                <c:pt idx="14">
                  <c:v>-5.1272727272727296</c:v>
                </c:pt>
                <c:pt idx="15">
                  <c:v>-3.9272727272727268</c:v>
                </c:pt>
                <c:pt idx="16">
                  <c:v>-3.5272727272727282</c:v>
                </c:pt>
                <c:pt idx="17">
                  <c:v>-3.5272727272727282</c:v>
                </c:pt>
                <c:pt idx="18">
                  <c:v>-3.5272727272727282</c:v>
                </c:pt>
                <c:pt idx="19">
                  <c:v>-2.9272727272727268</c:v>
                </c:pt>
                <c:pt idx="20">
                  <c:v>-2.6272727272727261</c:v>
                </c:pt>
                <c:pt idx="21">
                  <c:v>-0.4272727272727268</c:v>
                </c:pt>
                <c:pt idx="22">
                  <c:v>-2.4272727272727286</c:v>
                </c:pt>
                <c:pt idx="23">
                  <c:v>-1.2272727272727275</c:v>
                </c:pt>
                <c:pt idx="24">
                  <c:v>-1.1272727272727279</c:v>
                </c:pt>
                <c:pt idx="25">
                  <c:v>-0.32727272727272894</c:v>
                </c:pt>
                <c:pt idx="26">
                  <c:v>0.17272727272727462</c:v>
                </c:pt>
                <c:pt idx="27">
                  <c:v>0.17272727272727462</c:v>
                </c:pt>
                <c:pt idx="28">
                  <c:v>0.17272727272727284</c:v>
                </c:pt>
                <c:pt idx="29">
                  <c:v>-2.7272727272728226E-2</c:v>
                </c:pt>
                <c:pt idx="30">
                  <c:v>-2.7272727272726449E-2</c:v>
                </c:pt>
                <c:pt idx="31">
                  <c:v>0.17272727272727284</c:v>
                </c:pt>
                <c:pt idx="32">
                  <c:v>-0.12727272727272787</c:v>
                </c:pt>
                <c:pt idx="33">
                  <c:v>-2.7272727272728226E-2</c:v>
                </c:pt>
                <c:pt idx="34">
                  <c:v>-0.12727272727272609</c:v>
                </c:pt>
                <c:pt idx="35">
                  <c:v>-0.12727272727272609</c:v>
                </c:pt>
                <c:pt idx="36">
                  <c:v>-0.22727272727272574</c:v>
                </c:pt>
                <c:pt idx="37">
                  <c:v>1.5727272727272714</c:v>
                </c:pt>
                <c:pt idx="38">
                  <c:v>0.67272727272727106</c:v>
                </c:pt>
                <c:pt idx="39">
                  <c:v>2.4727272727272718</c:v>
                </c:pt>
                <c:pt idx="40">
                  <c:v>2.6727272727272711</c:v>
                </c:pt>
                <c:pt idx="41">
                  <c:v>3.8727272727272721</c:v>
                </c:pt>
                <c:pt idx="42">
                  <c:v>2.4727272727272736</c:v>
                </c:pt>
                <c:pt idx="43">
                  <c:v>1.4727272727272718</c:v>
                </c:pt>
                <c:pt idx="44">
                  <c:v>4.8727272727272739</c:v>
                </c:pt>
                <c:pt idx="45">
                  <c:v>4.5727272727272732</c:v>
                </c:pt>
                <c:pt idx="46">
                  <c:v>4.5727272727272732</c:v>
                </c:pt>
                <c:pt idx="47">
                  <c:v>4.4727272727272736</c:v>
                </c:pt>
                <c:pt idx="48">
                  <c:v>4.6727272727272728</c:v>
                </c:pt>
                <c:pt idx="49">
                  <c:v>4.3727272727272721</c:v>
                </c:pt>
                <c:pt idx="50">
                  <c:v>2.4727272727272736</c:v>
                </c:pt>
                <c:pt idx="51">
                  <c:v>2.2727272727272743</c:v>
                </c:pt>
                <c:pt idx="52">
                  <c:v>3.4727272727272718</c:v>
                </c:pt>
                <c:pt idx="53">
                  <c:v>5.0727272727272732</c:v>
                </c:pt>
                <c:pt idx="54">
                  <c:v>2.9727272727272718</c:v>
                </c:pt>
                <c:pt idx="55">
                  <c:v>1.3727272727272704</c:v>
                </c:pt>
                <c:pt idx="56">
                  <c:v>0.67272727272727284</c:v>
                </c:pt>
                <c:pt idx="57">
                  <c:v>2.5727272727272732</c:v>
                </c:pt>
                <c:pt idx="58">
                  <c:v>4.0727272727272732</c:v>
                </c:pt>
                <c:pt idx="59">
                  <c:v>4.1727272727272746</c:v>
                </c:pt>
                <c:pt idx="60">
                  <c:v>2.1727272727272746</c:v>
                </c:pt>
                <c:pt idx="61">
                  <c:v>1.8727272727272739</c:v>
                </c:pt>
                <c:pt idx="62">
                  <c:v>3.4727272727272718</c:v>
                </c:pt>
                <c:pt idx="63">
                  <c:v>3.8727272727272721</c:v>
                </c:pt>
                <c:pt idx="64">
                  <c:v>4.8727272727272739</c:v>
                </c:pt>
                <c:pt idx="65">
                  <c:v>3.2727272727272743</c:v>
                </c:pt>
                <c:pt idx="66">
                  <c:v>2.5727272727272732</c:v>
                </c:pt>
                <c:pt idx="67">
                  <c:v>2.7727272727272725</c:v>
                </c:pt>
                <c:pt idx="68">
                  <c:v>2.2727272727272725</c:v>
                </c:pt>
                <c:pt idx="69">
                  <c:v>2.8727272727272721</c:v>
                </c:pt>
                <c:pt idx="70">
                  <c:v>2.2727272727272743</c:v>
                </c:pt>
                <c:pt idx="71">
                  <c:v>1.2727272727272725</c:v>
                </c:pt>
                <c:pt idx="72">
                  <c:v>0.47272727272727355</c:v>
                </c:pt>
                <c:pt idx="73">
                  <c:v>0.57272727272727142</c:v>
                </c:pt>
                <c:pt idx="74">
                  <c:v>-2.4272727272727268</c:v>
                </c:pt>
                <c:pt idx="75">
                  <c:v>-3.0272727272727282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A-4A94-8AD0-A5BD1861753A}"/>
            </c:ext>
          </c:extLst>
        </c:ser>
        <c:ser>
          <c:idx val="1"/>
          <c:order val="1"/>
          <c:tx>
            <c:v>Dry Bulb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Sheet1!$A$2:$A$77</c:f>
              <c:numCache>
                <c:formatCode>h:mm</c:formatCode>
                <c:ptCount val="76"/>
                <c:pt idx="0">
                  <c:v>0.43402777777777779</c:v>
                </c:pt>
                <c:pt idx="1">
                  <c:v>0.4375</c:v>
                </c:pt>
                <c:pt idx="2">
                  <c:v>0.44097222222222199</c:v>
                </c:pt>
                <c:pt idx="3">
                  <c:v>0.44444444444444398</c:v>
                </c:pt>
                <c:pt idx="4">
                  <c:v>0.44791666666666702</c:v>
                </c:pt>
                <c:pt idx="5">
                  <c:v>0.45138888888888901</c:v>
                </c:pt>
                <c:pt idx="6">
                  <c:v>0.45486111111111099</c:v>
                </c:pt>
                <c:pt idx="7">
                  <c:v>0.45833333333333298</c:v>
                </c:pt>
                <c:pt idx="8">
                  <c:v>0.46180555555555503</c:v>
                </c:pt>
                <c:pt idx="9">
                  <c:v>0.46527777777777801</c:v>
                </c:pt>
                <c:pt idx="10">
                  <c:v>0.46875</c:v>
                </c:pt>
                <c:pt idx="11">
                  <c:v>0.47222222222222199</c:v>
                </c:pt>
                <c:pt idx="12">
                  <c:v>0.47569444444444398</c:v>
                </c:pt>
                <c:pt idx="13">
                  <c:v>0.47916666666666702</c:v>
                </c:pt>
                <c:pt idx="14">
                  <c:v>0.48263888888888901</c:v>
                </c:pt>
                <c:pt idx="15">
                  <c:v>0.48611111111111099</c:v>
                </c:pt>
                <c:pt idx="16">
                  <c:v>0.48958333333333298</c:v>
                </c:pt>
                <c:pt idx="17">
                  <c:v>0.49305555555555503</c:v>
                </c:pt>
                <c:pt idx="18">
                  <c:v>0.49652777777777801</c:v>
                </c:pt>
                <c:pt idx="19">
                  <c:v>0.5</c:v>
                </c:pt>
                <c:pt idx="20">
                  <c:v>0.50347222222222199</c:v>
                </c:pt>
                <c:pt idx="21">
                  <c:v>0.50694444444444398</c:v>
                </c:pt>
                <c:pt idx="22">
                  <c:v>0.51041666666666596</c:v>
                </c:pt>
                <c:pt idx="23">
                  <c:v>0.51388888888888895</c:v>
                </c:pt>
                <c:pt idx="24">
                  <c:v>0.51736111111111105</c:v>
                </c:pt>
                <c:pt idx="25">
                  <c:v>0.52083333333333304</c:v>
                </c:pt>
                <c:pt idx="26">
                  <c:v>0.52430555555555503</c:v>
                </c:pt>
                <c:pt idx="27">
                  <c:v>0.52777777777777701</c:v>
                </c:pt>
                <c:pt idx="28">
                  <c:v>0.53125</c:v>
                </c:pt>
                <c:pt idx="29">
                  <c:v>0.53472222222222199</c:v>
                </c:pt>
                <c:pt idx="30">
                  <c:v>0.53819444444444398</c:v>
                </c:pt>
                <c:pt idx="31">
                  <c:v>0.54166666666666696</c:v>
                </c:pt>
                <c:pt idx="32">
                  <c:v>0.54513888888888895</c:v>
                </c:pt>
                <c:pt idx="33">
                  <c:v>0.54861111111111105</c:v>
                </c:pt>
                <c:pt idx="34">
                  <c:v>0.55208333333333304</c:v>
                </c:pt>
                <c:pt idx="35">
                  <c:v>0.55555555555555503</c:v>
                </c:pt>
                <c:pt idx="36">
                  <c:v>0.55902777777777801</c:v>
                </c:pt>
                <c:pt idx="37">
                  <c:v>0.5625</c:v>
                </c:pt>
                <c:pt idx="38">
                  <c:v>0.56597222222222199</c:v>
                </c:pt>
                <c:pt idx="39">
                  <c:v>0.56944444444444398</c:v>
                </c:pt>
                <c:pt idx="40">
                  <c:v>0.57291666666666596</c:v>
                </c:pt>
                <c:pt idx="41">
                  <c:v>0.57638888888888895</c:v>
                </c:pt>
                <c:pt idx="42">
                  <c:v>0.57986111111111105</c:v>
                </c:pt>
                <c:pt idx="43">
                  <c:v>0.58333333333333304</c:v>
                </c:pt>
                <c:pt idx="44">
                  <c:v>0.58680555555555503</c:v>
                </c:pt>
                <c:pt idx="45">
                  <c:v>0.59027777777777701</c:v>
                </c:pt>
                <c:pt idx="46">
                  <c:v>0.59375</c:v>
                </c:pt>
                <c:pt idx="47">
                  <c:v>0.59722222222222199</c:v>
                </c:pt>
                <c:pt idx="48">
                  <c:v>0.60069444444444398</c:v>
                </c:pt>
                <c:pt idx="49">
                  <c:v>0.60416666666666596</c:v>
                </c:pt>
                <c:pt idx="50">
                  <c:v>0.60763888888888795</c:v>
                </c:pt>
                <c:pt idx="51">
                  <c:v>0.61111111111111105</c:v>
                </c:pt>
                <c:pt idx="52">
                  <c:v>0.61458333333333304</c:v>
                </c:pt>
                <c:pt idx="53">
                  <c:v>0.61805555555555503</c:v>
                </c:pt>
                <c:pt idx="54">
                  <c:v>0.62152777777777701</c:v>
                </c:pt>
                <c:pt idx="55">
                  <c:v>0.625</c:v>
                </c:pt>
                <c:pt idx="56">
                  <c:v>0.62847222222222199</c:v>
                </c:pt>
                <c:pt idx="57">
                  <c:v>0.63194444444444398</c:v>
                </c:pt>
                <c:pt idx="58">
                  <c:v>0.63541666666666596</c:v>
                </c:pt>
                <c:pt idx="59">
                  <c:v>0.63888888888888795</c:v>
                </c:pt>
                <c:pt idx="60">
                  <c:v>0.64236111111111105</c:v>
                </c:pt>
                <c:pt idx="61">
                  <c:v>0.64583333333333304</c:v>
                </c:pt>
                <c:pt idx="62">
                  <c:v>0.64930555555555503</c:v>
                </c:pt>
                <c:pt idx="63">
                  <c:v>0.65277777777777701</c:v>
                </c:pt>
                <c:pt idx="64">
                  <c:v>0.656249999999999</c:v>
                </c:pt>
                <c:pt idx="65">
                  <c:v>0.65972222222222199</c:v>
                </c:pt>
                <c:pt idx="66">
                  <c:v>0.66319444444444398</c:v>
                </c:pt>
                <c:pt idx="67">
                  <c:v>0.66666666666666596</c:v>
                </c:pt>
                <c:pt idx="68">
                  <c:v>0.67013888888888795</c:v>
                </c:pt>
                <c:pt idx="69">
                  <c:v>0.67361111111111005</c:v>
                </c:pt>
                <c:pt idx="70">
                  <c:v>0.67708333333333304</c:v>
                </c:pt>
                <c:pt idx="71">
                  <c:v>0.68055555555555503</c:v>
                </c:pt>
                <c:pt idx="72">
                  <c:v>0.68402777777777701</c:v>
                </c:pt>
                <c:pt idx="73">
                  <c:v>0.687499999999999</c:v>
                </c:pt>
                <c:pt idx="74">
                  <c:v>0.69097222222222199</c:v>
                </c:pt>
                <c:pt idx="75">
                  <c:v>0.69444444444444398</c:v>
                </c:pt>
              </c:numCache>
            </c:numRef>
          </c:cat>
          <c:val>
            <c:numRef>
              <c:f>Sheet1!$L$2:$L$77</c:f>
              <c:numCache>
                <c:formatCode>General</c:formatCode>
                <c:ptCount val="76"/>
                <c:pt idx="0">
                  <c:v>-3.5000000000000009</c:v>
                </c:pt>
                <c:pt idx="1">
                  <c:v>-3.6000000000000023</c:v>
                </c:pt>
                <c:pt idx="2">
                  <c:v>-3.7</c:v>
                </c:pt>
                <c:pt idx="3">
                  <c:v>-3.799999999999998</c:v>
                </c:pt>
                <c:pt idx="4">
                  <c:v>-4.1000000000000023</c:v>
                </c:pt>
                <c:pt idx="5">
                  <c:v>-4.2</c:v>
                </c:pt>
                <c:pt idx="6">
                  <c:v>-4.6000000000000023</c:v>
                </c:pt>
                <c:pt idx="7">
                  <c:v>-4.6000000000000023</c:v>
                </c:pt>
                <c:pt idx="8">
                  <c:v>-4.2</c:v>
                </c:pt>
                <c:pt idx="9">
                  <c:v>-4.0000000000000009</c:v>
                </c:pt>
                <c:pt idx="10">
                  <c:v>-3.400000000000003</c:v>
                </c:pt>
                <c:pt idx="11">
                  <c:v>-3.0000000000000009</c:v>
                </c:pt>
                <c:pt idx="12">
                  <c:v>-2.900000000000003</c:v>
                </c:pt>
                <c:pt idx="13">
                  <c:v>-3.0999999999999988</c:v>
                </c:pt>
                <c:pt idx="14">
                  <c:v>-3.7000000000000037</c:v>
                </c:pt>
                <c:pt idx="15">
                  <c:v>-3.5000000000000009</c:v>
                </c:pt>
                <c:pt idx="16">
                  <c:v>-3.3000000000000016</c:v>
                </c:pt>
                <c:pt idx="17">
                  <c:v>-3.3000000000000016</c:v>
                </c:pt>
                <c:pt idx="18">
                  <c:v>-3.299999999999998</c:v>
                </c:pt>
                <c:pt idx="19">
                  <c:v>-3.1000000000000023</c:v>
                </c:pt>
                <c:pt idx="20">
                  <c:v>-2.8000000000000016</c:v>
                </c:pt>
                <c:pt idx="21">
                  <c:v>-1.3000000000000016</c:v>
                </c:pt>
                <c:pt idx="22">
                  <c:v>-2.1000000000000023</c:v>
                </c:pt>
                <c:pt idx="23">
                  <c:v>-1.5000000000000009</c:v>
                </c:pt>
                <c:pt idx="24">
                  <c:v>-1.299999999999998</c:v>
                </c:pt>
                <c:pt idx="25">
                  <c:v>-0.60000000000000231</c:v>
                </c:pt>
                <c:pt idx="26">
                  <c:v>-0.20000000000000018</c:v>
                </c:pt>
                <c:pt idx="27">
                  <c:v>0</c:v>
                </c:pt>
                <c:pt idx="28">
                  <c:v>0.10000000000000053</c:v>
                </c:pt>
                <c:pt idx="29">
                  <c:v>0</c:v>
                </c:pt>
                <c:pt idx="30">
                  <c:v>0</c:v>
                </c:pt>
                <c:pt idx="31">
                  <c:v>0.10000000000000053</c:v>
                </c:pt>
                <c:pt idx="32">
                  <c:v>0</c:v>
                </c:pt>
                <c:pt idx="33">
                  <c:v>0.10000000000000053</c:v>
                </c:pt>
                <c:pt idx="34">
                  <c:v>0</c:v>
                </c:pt>
                <c:pt idx="35">
                  <c:v>0</c:v>
                </c:pt>
                <c:pt idx="36">
                  <c:v>-0.10000000000000231</c:v>
                </c:pt>
                <c:pt idx="37">
                  <c:v>2.4999999999999991</c:v>
                </c:pt>
                <c:pt idx="38">
                  <c:v>2.8999999999999977</c:v>
                </c:pt>
                <c:pt idx="39">
                  <c:v>4.700000000000002</c:v>
                </c:pt>
                <c:pt idx="40">
                  <c:v>5.1000000000000005</c:v>
                </c:pt>
                <c:pt idx="41">
                  <c:v>6.4999999999999991</c:v>
                </c:pt>
                <c:pt idx="42">
                  <c:v>5.4999999999999991</c:v>
                </c:pt>
                <c:pt idx="43">
                  <c:v>3.9999999999999991</c:v>
                </c:pt>
                <c:pt idx="44">
                  <c:v>7.3999999999999977</c:v>
                </c:pt>
                <c:pt idx="45">
                  <c:v>7.3999999999999977</c:v>
                </c:pt>
                <c:pt idx="46">
                  <c:v>7.6999999999999984</c:v>
                </c:pt>
                <c:pt idx="47">
                  <c:v>7.6000000000000005</c:v>
                </c:pt>
                <c:pt idx="48">
                  <c:v>7.8999999999999977</c:v>
                </c:pt>
                <c:pt idx="49">
                  <c:v>7.8999999999999977</c:v>
                </c:pt>
                <c:pt idx="50">
                  <c:v>5.1000000000000005</c:v>
                </c:pt>
                <c:pt idx="51">
                  <c:v>4.3</c:v>
                </c:pt>
                <c:pt idx="52">
                  <c:v>5.4999999999999991</c:v>
                </c:pt>
                <c:pt idx="53">
                  <c:v>7.6999999999999984</c:v>
                </c:pt>
                <c:pt idx="54">
                  <c:v>5.700000000000002</c:v>
                </c:pt>
                <c:pt idx="55">
                  <c:v>3.4999999999999991</c:v>
                </c:pt>
                <c:pt idx="56">
                  <c:v>1.9999999999999991</c:v>
                </c:pt>
                <c:pt idx="57">
                  <c:v>3.8999999999999977</c:v>
                </c:pt>
                <c:pt idx="58">
                  <c:v>5.8999999999999977</c:v>
                </c:pt>
                <c:pt idx="59">
                  <c:v>6.6000000000000005</c:v>
                </c:pt>
                <c:pt idx="60">
                  <c:v>4.6000000000000005</c:v>
                </c:pt>
                <c:pt idx="61">
                  <c:v>3.6000000000000005</c:v>
                </c:pt>
                <c:pt idx="62">
                  <c:v>5.6000000000000005</c:v>
                </c:pt>
                <c:pt idx="63">
                  <c:v>6.3999999999999977</c:v>
                </c:pt>
                <c:pt idx="64">
                  <c:v>9.6000000000000014</c:v>
                </c:pt>
                <c:pt idx="65">
                  <c:v>7.8</c:v>
                </c:pt>
                <c:pt idx="66">
                  <c:v>6.8</c:v>
                </c:pt>
                <c:pt idx="67">
                  <c:v>6.3999999999999977</c:v>
                </c:pt>
                <c:pt idx="68">
                  <c:v>5.3999999999999977</c:v>
                </c:pt>
                <c:pt idx="69">
                  <c:v>5.4999999999999991</c:v>
                </c:pt>
                <c:pt idx="70">
                  <c:v>4.6999999999999984</c:v>
                </c:pt>
                <c:pt idx="71">
                  <c:v>2.9999999999999991</c:v>
                </c:pt>
                <c:pt idx="72">
                  <c:v>1.7999999999999998</c:v>
                </c:pt>
                <c:pt idx="73">
                  <c:v>1.8999999999999977</c:v>
                </c:pt>
                <c:pt idx="74">
                  <c:v>0.79999999999999982</c:v>
                </c:pt>
                <c:pt idx="75">
                  <c:v>0.10000000000000053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A-4A94-8AD0-A5BD18617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530031"/>
        <c:axId val="286567471"/>
      </c:lineChart>
      <c:catAx>
        <c:axId val="28653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67471"/>
        <c:crosses val="autoZero"/>
        <c:auto val="1"/>
        <c:lblAlgn val="ctr"/>
        <c:lblOffset val="100"/>
        <c:noMultiLvlLbl val="0"/>
      </c:catAx>
      <c:valAx>
        <c:axId val="2865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Temperature </a:t>
                </a:r>
                <a:r>
                  <a:rPr lang="en-US" sz="10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(˚C)</a:t>
                </a: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3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114 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Wet Bulb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Sheet1!$A$39:$A$71</c:f>
              <c:numCache>
                <c:formatCode>h:mm</c:formatCode>
                <c:ptCount val="33"/>
                <c:pt idx="0">
                  <c:v>0.5625</c:v>
                </c:pt>
                <c:pt idx="1">
                  <c:v>0.56597222222222199</c:v>
                </c:pt>
                <c:pt idx="2">
                  <c:v>0.56944444444444398</c:v>
                </c:pt>
                <c:pt idx="3">
                  <c:v>0.57291666666666596</c:v>
                </c:pt>
                <c:pt idx="4">
                  <c:v>0.57638888888888895</c:v>
                </c:pt>
                <c:pt idx="5">
                  <c:v>0.57986111111111105</c:v>
                </c:pt>
                <c:pt idx="6">
                  <c:v>0.58333333333333304</c:v>
                </c:pt>
                <c:pt idx="7">
                  <c:v>0.58680555555555503</c:v>
                </c:pt>
                <c:pt idx="8">
                  <c:v>0.59027777777777701</c:v>
                </c:pt>
                <c:pt idx="9">
                  <c:v>0.59375</c:v>
                </c:pt>
                <c:pt idx="10">
                  <c:v>0.59722222222222199</c:v>
                </c:pt>
                <c:pt idx="11">
                  <c:v>0.60069444444444398</c:v>
                </c:pt>
                <c:pt idx="12">
                  <c:v>0.60416666666666596</c:v>
                </c:pt>
                <c:pt idx="13">
                  <c:v>0.60763888888888795</c:v>
                </c:pt>
                <c:pt idx="14">
                  <c:v>0.61111111111111105</c:v>
                </c:pt>
                <c:pt idx="15">
                  <c:v>0.61458333333333304</c:v>
                </c:pt>
                <c:pt idx="16">
                  <c:v>0.61805555555555503</c:v>
                </c:pt>
                <c:pt idx="17">
                  <c:v>0.62152777777777701</c:v>
                </c:pt>
                <c:pt idx="18">
                  <c:v>0.625</c:v>
                </c:pt>
                <c:pt idx="19">
                  <c:v>0.62847222222222199</c:v>
                </c:pt>
                <c:pt idx="20">
                  <c:v>0.63194444444444398</c:v>
                </c:pt>
                <c:pt idx="21">
                  <c:v>0.63541666666666596</c:v>
                </c:pt>
                <c:pt idx="22">
                  <c:v>0.63888888888888795</c:v>
                </c:pt>
                <c:pt idx="23">
                  <c:v>0.64236111111111105</c:v>
                </c:pt>
                <c:pt idx="24">
                  <c:v>0.64583333333333304</c:v>
                </c:pt>
                <c:pt idx="25">
                  <c:v>0.64930555555555503</c:v>
                </c:pt>
                <c:pt idx="26">
                  <c:v>0.65277777777777701</c:v>
                </c:pt>
                <c:pt idx="27">
                  <c:v>0.656249999999999</c:v>
                </c:pt>
                <c:pt idx="28">
                  <c:v>0.65972222222222199</c:v>
                </c:pt>
                <c:pt idx="29">
                  <c:v>0.66319444444444398</c:v>
                </c:pt>
                <c:pt idx="30">
                  <c:v>0.66666666666666596</c:v>
                </c:pt>
                <c:pt idx="31">
                  <c:v>0.67013888888888795</c:v>
                </c:pt>
                <c:pt idx="32">
                  <c:v>0.67361111111111005</c:v>
                </c:pt>
              </c:numCache>
            </c:numRef>
          </c:cat>
          <c:val>
            <c:numRef>
              <c:f>Sheet1!$N$39:$N$71</c:f>
              <c:numCache>
                <c:formatCode>General</c:formatCode>
                <c:ptCount val="33"/>
                <c:pt idx="0">
                  <c:v>22.472727272727269</c:v>
                </c:pt>
                <c:pt idx="1">
                  <c:v>21.872727272727271</c:v>
                </c:pt>
                <c:pt idx="2">
                  <c:v>24.172727272727272</c:v>
                </c:pt>
                <c:pt idx="3">
                  <c:v>24.072727272727271</c:v>
                </c:pt>
                <c:pt idx="4">
                  <c:v>26.572727272727271</c:v>
                </c:pt>
                <c:pt idx="5">
                  <c:v>23.572727272727274</c:v>
                </c:pt>
                <c:pt idx="6">
                  <c:v>21.372727272727271</c:v>
                </c:pt>
                <c:pt idx="7">
                  <c:v>28.172727272727276</c:v>
                </c:pt>
                <c:pt idx="8">
                  <c:v>27.572727272727274</c:v>
                </c:pt>
                <c:pt idx="9">
                  <c:v>27.572727272727274</c:v>
                </c:pt>
                <c:pt idx="10">
                  <c:v>27.272727272727273</c:v>
                </c:pt>
                <c:pt idx="11">
                  <c:v>27.672727272727272</c:v>
                </c:pt>
                <c:pt idx="12">
                  <c:v>27.072727272727271</c:v>
                </c:pt>
                <c:pt idx="13">
                  <c:v>23.272727272727273</c:v>
                </c:pt>
                <c:pt idx="14">
                  <c:v>22.872727272727275</c:v>
                </c:pt>
                <c:pt idx="15">
                  <c:v>25.172727272727272</c:v>
                </c:pt>
                <c:pt idx="16">
                  <c:v>28.372727272727275</c:v>
                </c:pt>
                <c:pt idx="17">
                  <c:v>24.172727272727272</c:v>
                </c:pt>
                <c:pt idx="18">
                  <c:v>21.27272727272727</c:v>
                </c:pt>
                <c:pt idx="19">
                  <c:v>19.472727272727273</c:v>
                </c:pt>
                <c:pt idx="20">
                  <c:v>23.572727272727274</c:v>
                </c:pt>
                <c:pt idx="21">
                  <c:v>26.572727272727274</c:v>
                </c:pt>
                <c:pt idx="22">
                  <c:v>26.772727272727277</c:v>
                </c:pt>
                <c:pt idx="23">
                  <c:v>22.772727272727277</c:v>
                </c:pt>
                <c:pt idx="24">
                  <c:v>22.172727272727276</c:v>
                </c:pt>
                <c:pt idx="25">
                  <c:v>25.372727272727271</c:v>
                </c:pt>
                <c:pt idx="26">
                  <c:v>26.072727272727271</c:v>
                </c:pt>
                <c:pt idx="27">
                  <c:v>28.172727272727276</c:v>
                </c:pt>
                <c:pt idx="28">
                  <c:v>24.872727272727275</c:v>
                </c:pt>
                <c:pt idx="29">
                  <c:v>23.572727272727274</c:v>
                </c:pt>
                <c:pt idx="30">
                  <c:v>23.972727272727273</c:v>
                </c:pt>
                <c:pt idx="31">
                  <c:v>22.972727272727273</c:v>
                </c:pt>
                <c:pt idx="32">
                  <c:v>24.072727272727271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B-46F9-9B23-529601719F54}"/>
            </c:ext>
          </c:extLst>
        </c:ser>
        <c:ser>
          <c:idx val="1"/>
          <c:order val="1"/>
          <c:tx>
            <c:v>Dry Bulb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Sheet1!$A$39:$A$71</c:f>
              <c:numCache>
                <c:formatCode>h:mm</c:formatCode>
                <c:ptCount val="33"/>
                <c:pt idx="0">
                  <c:v>0.5625</c:v>
                </c:pt>
                <c:pt idx="1">
                  <c:v>0.56597222222222199</c:v>
                </c:pt>
                <c:pt idx="2">
                  <c:v>0.56944444444444398</c:v>
                </c:pt>
                <c:pt idx="3">
                  <c:v>0.57291666666666596</c:v>
                </c:pt>
                <c:pt idx="4">
                  <c:v>0.57638888888888895</c:v>
                </c:pt>
                <c:pt idx="5">
                  <c:v>0.57986111111111105</c:v>
                </c:pt>
                <c:pt idx="6">
                  <c:v>0.58333333333333304</c:v>
                </c:pt>
                <c:pt idx="7">
                  <c:v>0.58680555555555503</c:v>
                </c:pt>
                <c:pt idx="8">
                  <c:v>0.59027777777777701</c:v>
                </c:pt>
                <c:pt idx="9">
                  <c:v>0.59375</c:v>
                </c:pt>
                <c:pt idx="10">
                  <c:v>0.59722222222222199</c:v>
                </c:pt>
                <c:pt idx="11">
                  <c:v>0.60069444444444398</c:v>
                </c:pt>
                <c:pt idx="12">
                  <c:v>0.60416666666666596</c:v>
                </c:pt>
                <c:pt idx="13">
                  <c:v>0.60763888888888795</c:v>
                </c:pt>
                <c:pt idx="14">
                  <c:v>0.61111111111111105</c:v>
                </c:pt>
                <c:pt idx="15">
                  <c:v>0.61458333333333304</c:v>
                </c:pt>
                <c:pt idx="16">
                  <c:v>0.61805555555555503</c:v>
                </c:pt>
                <c:pt idx="17">
                  <c:v>0.62152777777777701</c:v>
                </c:pt>
                <c:pt idx="18">
                  <c:v>0.625</c:v>
                </c:pt>
                <c:pt idx="19">
                  <c:v>0.62847222222222199</c:v>
                </c:pt>
                <c:pt idx="20">
                  <c:v>0.63194444444444398</c:v>
                </c:pt>
                <c:pt idx="21">
                  <c:v>0.63541666666666596</c:v>
                </c:pt>
                <c:pt idx="22">
                  <c:v>0.63888888888888795</c:v>
                </c:pt>
                <c:pt idx="23">
                  <c:v>0.64236111111111105</c:v>
                </c:pt>
                <c:pt idx="24">
                  <c:v>0.64583333333333304</c:v>
                </c:pt>
                <c:pt idx="25">
                  <c:v>0.64930555555555503</c:v>
                </c:pt>
                <c:pt idx="26">
                  <c:v>0.65277777777777701</c:v>
                </c:pt>
                <c:pt idx="27">
                  <c:v>0.656249999999999</c:v>
                </c:pt>
                <c:pt idx="28">
                  <c:v>0.65972222222222199</c:v>
                </c:pt>
                <c:pt idx="29">
                  <c:v>0.66319444444444398</c:v>
                </c:pt>
                <c:pt idx="30">
                  <c:v>0.66666666666666596</c:v>
                </c:pt>
                <c:pt idx="31">
                  <c:v>0.67013888888888795</c:v>
                </c:pt>
                <c:pt idx="32">
                  <c:v>0.67361111111111005</c:v>
                </c:pt>
              </c:numCache>
            </c:numRef>
          </c:cat>
          <c:val>
            <c:numRef>
              <c:f>Sheet1!$O$39:$O$71</c:f>
              <c:numCache>
                <c:formatCode>General</c:formatCode>
                <c:ptCount val="33"/>
                <c:pt idx="0">
                  <c:v>27.9</c:v>
                </c:pt>
                <c:pt idx="1">
                  <c:v>29.299999999999997</c:v>
                </c:pt>
                <c:pt idx="2">
                  <c:v>32.300000000000004</c:v>
                </c:pt>
                <c:pt idx="3">
                  <c:v>32.9</c:v>
                </c:pt>
                <c:pt idx="4">
                  <c:v>35.799999999999997</c:v>
                </c:pt>
                <c:pt idx="5">
                  <c:v>33.699999999999996</c:v>
                </c:pt>
                <c:pt idx="6">
                  <c:v>30.6</c:v>
                </c:pt>
                <c:pt idx="7">
                  <c:v>37.299999999999997</c:v>
                </c:pt>
                <c:pt idx="8">
                  <c:v>37.299999999999997</c:v>
                </c:pt>
                <c:pt idx="9">
                  <c:v>37.9</c:v>
                </c:pt>
                <c:pt idx="10">
                  <c:v>37.700000000000003</c:v>
                </c:pt>
                <c:pt idx="11">
                  <c:v>38.299999999999997</c:v>
                </c:pt>
                <c:pt idx="12">
                  <c:v>38.299999999999997</c:v>
                </c:pt>
                <c:pt idx="13">
                  <c:v>32.700000000000003</c:v>
                </c:pt>
                <c:pt idx="14">
                  <c:v>31.1</c:v>
                </c:pt>
                <c:pt idx="15">
                  <c:v>33.5</c:v>
                </c:pt>
                <c:pt idx="16">
                  <c:v>37.9</c:v>
                </c:pt>
                <c:pt idx="17">
                  <c:v>33.800000000000004</c:v>
                </c:pt>
                <c:pt idx="18">
                  <c:v>29.6</c:v>
                </c:pt>
                <c:pt idx="19">
                  <c:v>26.4</c:v>
                </c:pt>
                <c:pt idx="20">
                  <c:v>30.299999999999997</c:v>
                </c:pt>
                <c:pt idx="21">
                  <c:v>34.299999999999997</c:v>
                </c:pt>
                <c:pt idx="22">
                  <c:v>35.700000000000003</c:v>
                </c:pt>
                <c:pt idx="23">
                  <c:v>31.700000000000003</c:v>
                </c:pt>
                <c:pt idx="24">
                  <c:v>29.700000000000003</c:v>
                </c:pt>
                <c:pt idx="25">
                  <c:v>33.700000000000003</c:v>
                </c:pt>
                <c:pt idx="26">
                  <c:v>35.299999999999997</c:v>
                </c:pt>
                <c:pt idx="27">
                  <c:v>41.7</c:v>
                </c:pt>
                <c:pt idx="28">
                  <c:v>38.1</c:v>
                </c:pt>
                <c:pt idx="29">
                  <c:v>36.1</c:v>
                </c:pt>
                <c:pt idx="30">
                  <c:v>35.299999999999997</c:v>
                </c:pt>
                <c:pt idx="31">
                  <c:v>33.299999999999997</c:v>
                </c:pt>
                <c:pt idx="32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B-46F9-9B23-529601719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51391"/>
        <c:axId val="192550431"/>
      </c:lineChart>
      <c:catAx>
        <c:axId val="19255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0431"/>
        <c:crosses val="autoZero"/>
        <c:auto val="1"/>
        <c:lblAlgn val="ctr"/>
        <c:lblOffset val="100"/>
        <c:noMultiLvlLbl val="0"/>
      </c:catAx>
      <c:valAx>
        <c:axId val="192550431"/>
        <c:scaling>
          <c:orientation val="minMax"/>
          <c:max val="45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Temperature </a:t>
                </a:r>
                <a:r>
                  <a:rPr lang="en-US" sz="10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(˚C)</a:t>
                </a:r>
                <a:r>
                  <a:rPr lang="en-US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457201</xdr:colOff>
      <xdr:row>56</xdr:row>
      <xdr:rowOff>19050</xdr:rowOff>
    </xdr:from>
    <xdr:to>
      <xdr:col>25</xdr:col>
      <xdr:colOff>323851</xdr:colOff>
      <xdr:row>76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5F1ECE-B2DE-79AE-828A-A77FEF238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123825</xdr:colOff>
      <xdr:row>23</xdr:row>
      <xdr:rowOff>180976</xdr:rowOff>
    </xdr:from>
    <xdr:to>
      <xdr:col>22</xdr:col>
      <xdr:colOff>190500</xdr:colOff>
      <xdr:row>34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60252-6C74-BA0F-A663-DD9B1CF41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485774</xdr:colOff>
      <xdr:row>35</xdr:row>
      <xdr:rowOff>47625</xdr:rowOff>
    </xdr:from>
    <xdr:to>
      <xdr:col>25</xdr:col>
      <xdr:colOff>190500</xdr:colOff>
      <xdr:row>55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DA6EFD-F706-30A5-8213-955C86E63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452436</xdr:colOff>
      <xdr:row>2</xdr:row>
      <xdr:rowOff>66675</xdr:rowOff>
    </xdr:from>
    <xdr:to>
      <xdr:col>25</xdr:col>
      <xdr:colOff>200025</xdr:colOff>
      <xdr:row>22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EB36C4-2148-7731-E65A-7D47A87E5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G1" workbookViewId="0">
      <selection activeCell="AB22" sqref="AB22"/>
    </sheetView>
  </sheetViews>
  <sheetFormatPr defaultRowHeight="15" x14ac:dyDescent="0.25"/>
  <cols>
    <col min="8" max="8" width="12" bestFit="1" customWidth="1"/>
    <col min="11" max="11" width="14.28515625" bestFit="1" customWidth="1"/>
    <col min="12" max="12" width="13.5703125" bestFit="1" customWidth="1"/>
    <col min="14" max="14" width="18" bestFit="1" customWidth="1"/>
    <col min="15" max="15" width="17.28515625" bestFit="1" customWidth="1"/>
  </cols>
  <sheetData>
    <row r="1" spans="1:15" x14ac:dyDescent="0.25">
      <c r="C1" t="s">
        <v>6</v>
      </c>
      <c r="D1" t="s">
        <v>5</v>
      </c>
      <c r="E1" t="s">
        <v>7</v>
      </c>
      <c r="F1" t="s">
        <v>8</v>
      </c>
      <c r="H1" t="s">
        <v>1</v>
      </c>
      <c r="I1" t="s">
        <v>2</v>
      </c>
      <c r="K1" t="s">
        <v>3</v>
      </c>
      <c r="L1" t="s">
        <v>4</v>
      </c>
      <c r="N1" t="s">
        <v>9</v>
      </c>
      <c r="O1" t="s">
        <v>10</v>
      </c>
    </row>
    <row r="2" spans="1:15" x14ac:dyDescent="0.25">
      <c r="A2" s="1">
        <v>0.43402777777777779</v>
      </c>
      <c r="B2" s="1"/>
      <c r="C2">
        <v>20.5</v>
      </c>
      <c r="D2">
        <v>17.3</v>
      </c>
      <c r="E2">
        <v>19.5</v>
      </c>
      <c r="F2">
        <v>15.9</v>
      </c>
      <c r="H2">
        <f>D2-F2</f>
        <v>1.4000000000000004</v>
      </c>
      <c r="I2">
        <f>C2-E2</f>
        <v>1</v>
      </c>
      <c r="K2">
        <f>H2-H$80</f>
        <v>-3.8272727272727272</v>
      </c>
      <c r="L2">
        <f>I2-I$80</f>
        <v>-3.5000000000000009</v>
      </c>
      <c r="N2">
        <f>D2+K2</f>
        <v>13.472727272727273</v>
      </c>
      <c r="O2">
        <f>C2+L2</f>
        <v>17</v>
      </c>
    </row>
    <row r="3" spans="1:15" x14ac:dyDescent="0.25">
      <c r="A3" s="1">
        <v>0.4375</v>
      </c>
      <c r="B3" s="1"/>
      <c r="C3">
        <v>20.9</v>
      </c>
      <c r="D3">
        <v>16.7</v>
      </c>
      <c r="E3">
        <v>20</v>
      </c>
      <c r="F3">
        <v>16</v>
      </c>
      <c r="H3">
        <f>D3-F3</f>
        <v>0.69999999999999929</v>
      </c>
      <c r="I3">
        <f>C3-E3</f>
        <v>0.89999999999999858</v>
      </c>
      <c r="K3">
        <f t="shared" ref="K3:K66" si="0">H3-H$80</f>
        <v>-4.5272727272727282</v>
      </c>
      <c r="L3">
        <f t="shared" ref="L3:L66" si="1">I3-I$80</f>
        <v>-3.6000000000000023</v>
      </c>
      <c r="N3">
        <f t="shared" ref="N3:N66" si="2">D3+K3</f>
        <v>12.172727272727272</v>
      </c>
      <c r="O3">
        <f t="shared" ref="O3:O66" si="3">C3+L3</f>
        <v>17.299999999999997</v>
      </c>
    </row>
    <row r="4" spans="1:15" x14ac:dyDescent="0.25">
      <c r="A4" s="1">
        <v>0.44097222222222199</v>
      </c>
      <c r="B4" s="1"/>
      <c r="C4">
        <v>21</v>
      </c>
      <c r="D4">
        <v>16.600000000000001</v>
      </c>
      <c r="E4">
        <v>20.2</v>
      </c>
      <c r="F4">
        <v>16</v>
      </c>
      <c r="H4">
        <f>D4-F4</f>
        <v>0.60000000000000142</v>
      </c>
      <c r="I4">
        <f>C4-E4</f>
        <v>0.80000000000000071</v>
      </c>
      <c r="K4">
        <f t="shared" si="0"/>
        <v>-4.6272727272727261</v>
      </c>
      <c r="L4">
        <f t="shared" si="1"/>
        <v>-3.7</v>
      </c>
      <c r="N4">
        <f t="shared" si="2"/>
        <v>11.972727272727276</v>
      </c>
      <c r="O4">
        <f t="shared" si="3"/>
        <v>17.3</v>
      </c>
    </row>
    <row r="5" spans="1:15" x14ac:dyDescent="0.25">
      <c r="A5" s="1">
        <v>0.44444444444444398</v>
      </c>
      <c r="B5" s="1"/>
      <c r="C5">
        <v>21.1</v>
      </c>
      <c r="D5">
        <v>16.5</v>
      </c>
      <c r="E5">
        <v>20.399999999999999</v>
      </c>
      <c r="F5">
        <v>16</v>
      </c>
      <c r="H5">
        <f>D5-F5</f>
        <v>0.5</v>
      </c>
      <c r="I5">
        <f>C5-E5</f>
        <v>0.70000000000000284</v>
      </c>
      <c r="K5">
        <f t="shared" si="0"/>
        <v>-4.7272727272727275</v>
      </c>
      <c r="L5">
        <f t="shared" si="1"/>
        <v>-3.799999999999998</v>
      </c>
      <c r="N5">
        <f t="shared" si="2"/>
        <v>11.772727272727273</v>
      </c>
      <c r="O5">
        <f t="shared" si="3"/>
        <v>17.300000000000004</v>
      </c>
    </row>
    <row r="6" spans="1:15" x14ac:dyDescent="0.25">
      <c r="A6" s="1">
        <v>0.44791666666666702</v>
      </c>
      <c r="B6" s="1"/>
      <c r="C6">
        <v>21</v>
      </c>
      <c r="D6">
        <v>16.399999999999999</v>
      </c>
      <c r="E6">
        <v>20.6</v>
      </c>
      <c r="F6">
        <v>16.100000000000001</v>
      </c>
      <c r="H6">
        <f>D6-F6</f>
        <v>0.29999999999999716</v>
      </c>
      <c r="I6">
        <f>C6-E6</f>
        <v>0.39999999999999858</v>
      </c>
      <c r="K6">
        <f t="shared" si="0"/>
        <v>-4.9272727272727304</v>
      </c>
      <c r="L6">
        <f t="shared" si="1"/>
        <v>-4.1000000000000023</v>
      </c>
      <c r="N6">
        <f t="shared" si="2"/>
        <v>11.472727272727269</v>
      </c>
      <c r="O6">
        <f t="shared" si="3"/>
        <v>16.899999999999999</v>
      </c>
    </row>
    <row r="7" spans="1:15" x14ac:dyDescent="0.25">
      <c r="A7" s="1">
        <v>0.45138888888888901</v>
      </c>
      <c r="B7" s="1"/>
      <c r="C7">
        <v>20.8</v>
      </c>
      <c r="D7">
        <v>16.2</v>
      </c>
      <c r="E7">
        <v>20.5</v>
      </c>
      <c r="F7">
        <v>16.100000000000001</v>
      </c>
      <c r="H7">
        <f>D7-F7</f>
        <v>9.9999999999997868E-2</v>
      </c>
      <c r="I7">
        <f>C7-E7</f>
        <v>0.30000000000000071</v>
      </c>
      <c r="K7">
        <f t="shared" si="0"/>
        <v>-5.1272727272727296</v>
      </c>
      <c r="L7">
        <f t="shared" si="1"/>
        <v>-4.2</v>
      </c>
      <c r="N7">
        <f t="shared" si="2"/>
        <v>11.072727272727271</v>
      </c>
      <c r="O7">
        <f t="shared" si="3"/>
        <v>16.600000000000001</v>
      </c>
    </row>
    <row r="8" spans="1:15" x14ac:dyDescent="0.25">
      <c r="A8" s="1">
        <v>0.45486111111111099</v>
      </c>
      <c r="B8" s="1"/>
      <c r="C8">
        <v>20.2</v>
      </c>
      <c r="D8">
        <v>15.9</v>
      </c>
      <c r="E8">
        <v>20.3</v>
      </c>
      <c r="F8">
        <v>16</v>
      </c>
      <c r="H8">
        <f>D8-F8</f>
        <v>-9.9999999999999645E-2</v>
      </c>
      <c r="I8">
        <f>C8-E8</f>
        <v>-0.10000000000000142</v>
      </c>
      <c r="K8">
        <f t="shared" si="0"/>
        <v>-5.3272727272727272</v>
      </c>
      <c r="L8">
        <f t="shared" si="1"/>
        <v>-4.6000000000000023</v>
      </c>
      <c r="N8">
        <f t="shared" si="2"/>
        <v>10.572727272727274</v>
      </c>
      <c r="O8">
        <f t="shared" si="3"/>
        <v>15.599999999999998</v>
      </c>
    </row>
    <row r="9" spans="1:15" x14ac:dyDescent="0.25">
      <c r="A9" s="1">
        <v>0.45833333333333298</v>
      </c>
      <c r="B9" s="1"/>
      <c r="C9">
        <v>19.899999999999999</v>
      </c>
      <c r="D9">
        <v>15.8</v>
      </c>
      <c r="E9">
        <v>20</v>
      </c>
      <c r="F9">
        <v>15.7</v>
      </c>
      <c r="H9">
        <f>D9-F9</f>
        <v>0.10000000000000142</v>
      </c>
      <c r="I9">
        <f>C9-E9</f>
        <v>-0.10000000000000142</v>
      </c>
      <c r="K9">
        <f t="shared" si="0"/>
        <v>-5.1272727272727261</v>
      </c>
      <c r="L9">
        <f t="shared" si="1"/>
        <v>-4.6000000000000023</v>
      </c>
      <c r="N9">
        <f t="shared" si="2"/>
        <v>10.672727272727276</v>
      </c>
      <c r="O9">
        <f t="shared" si="3"/>
        <v>15.299999999999997</v>
      </c>
    </row>
    <row r="10" spans="1:15" x14ac:dyDescent="0.25">
      <c r="A10" s="1">
        <v>0.46180555555555503</v>
      </c>
      <c r="B10" s="1"/>
      <c r="C10">
        <v>20.100000000000001</v>
      </c>
      <c r="D10">
        <v>16</v>
      </c>
      <c r="E10">
        <v>19.8</v>
      </c>
      <c r="F10">
        <v>15.7</v>
      </c>
      <c r="H10">
        <f>D10-F10</f>
        <v>0.30000000000000071</v>
      </c>
      <c r="I10">
        <f>C10-E10</f>
        <v>0.30000000000000071</v>
      </c>
      <c r="K10">
        <f t="shared" si="0"/>
        <v>-4.9272727272727268</v>
      </c>
      <c r="L10">
        <f t="shared" si="1"/>
        <v>-4.2</v>
      </c>
      <c r="N10">
        <f t="shared" si="2"/>
        <v>11.072727272727274</v>
      </c>
      <c r="O10">
        <f t="shared" si="3"/>
        <v>15.900000000000002</v>
      </c>
    </row>
    <row r="11" spans="1:15" x14ac:dyDescent="0.25">
      <c r="A11" s="1">
        <v>0.46527777777777801</v>
      </c>
      <c r="B11" s="1"/>
      <c r="C11">
        <v>20.399999999999999</v>
      </c>
      <c r="D11">
        <v>16.100000000000001</v>
      </c>
      <c r="E11">
        <v>19.899999999999999</v>
      </c>
      <c r="F11">
        <v>15.8</v>
      </c>
      <c r="H11">
        <f>D11-F11</f>
        <v>0.30000000000000071</v>
      </c>
      <c r="I11">
        <f>C11-E11</f>
        <v>0.5</v>
      </c>
      <c r="K11">
        <f t="shared" si="0"/>
        <v>-4.9272727272727268</v>
      </c>
      <c r="L11">
        <f t="shared" si="1"/>
        <v>-4.0000000000000009</v>
      </c>
      <c r="N11">
        <f t="shared" si="2"/>
        <v>11.172727272727276</v>
      </c>
      <c r="O11">
        <f t="shared" si="3"/>
        <v>16.399999999999999</v>
      </c>
    </row>
    <row r="12" spans="1:15" x14ac:dyDescent="0.25">
      <c r="A12" s="1">
        <v>0.46875</v>
      </c>
      <c r="B12" s="1"/>
      <c r="C12">
        <v>20.7</v>
      </c>
      <c r="D12">
        <v>16.2</v>
      </c>
      <c r="E12">
        <v>19.600000000000001</v>
      </c>
      <c r="F12">
        <v>15.6</v>
      </c>
      <c r="H12">
        <f>D12-F12</f>
        <v>0.59999999999999964</v>
      </c>
      <c r="I12">
        <f>C12-E12</f>
        <v>1.0999999999999979</v>
      </c>
      <c r="K12">
        <f t="shared" si="0"/>
        <v>-4.6272727272727279</v>
      </c>
      <c r="L12">
        <f t="shared" si="1"/>
        <v>-3.400000000000003</v>
      </c>
      <c r="N12">
        <f t="shared" si="2"/>
        <v>11.572727272727271</v>
      </c>
      <c r="O12">
        <f t="shared" si="3"/>
        <v>17.299999999999997</v>
      </c>
    </row>
    <row r="13" spans="1:15" x14ac:dyDescent="0.25">
      <c r="A13" s="1">
        <v>0.47222222222222199</v>
      </c>
      <c r="B13" s="1"/>
      <c r="C13">
        <v>21.2</v>
      </c>
      <c r="D13">
        <v>16.8</v>
      </c>
      <c r="E13">
        <v>19.7</v>
      </c>
      <c r="F13">
        <v>16.2</v>
      </c>
      <c r="H13">
        <f>D13-F13</f>
        <v>0.60000000000000142</v>
      </c>
      <c r="I13">
        <f>C13-E13</f>
        <v>1.5</v>
      </c>
      <c r="K13">
        <f t="shared" si="0"/>
        <v>-4.6272727272727261</v>
      </c>
      <c r="L13">
        <f t="shared" si="1"/>
        <v>-3.0000000000000009</v>
      </c>
      <c r="N13">
        <f t="shared" si="2"/>
        <v>12.172727272727276</v>
      </c>
      <c r="O13">
        <f t="shared" si="3"/>
        <v>18.2</v>
      </c>
    </row>
    <row r="14" spans="1:15" x14ac:dyDescent="0.25">
      <c r="A14" s="1">
        <v>0.47569444444444398</v>
      </c>
      <c r="B14" s="1"/>
      <c r="C14">
        <v>21.4</v>
      </c>
      <c r="D14">
        <v>16.8</v>
      </c>
      <c r="E14">
        <v>19.8</v>
      </c>
      <c r="F14">
        <v>16</v>
      </c>
      <c r="H14">
        <f>D14-F14</f>
        <v>0.80000000000000071</v>
      </c>
      <c r="I14">
        <f>C14-E14</f>
        <v>1.5999999999999979</v>
      </c>
      <c r="K14">
        <f t="shared" si="0"/>
        <v>-4.4272727272727268</v>
      </c>
      <c r="L14">
        <f t="shared" si="1"/>
        <v>-2.900000000000003</v>
      </c>
      <c r="N14">
        <f t="shared" si="2"/>
        <v>12.372727272727275</v>
      </c>
      <c r="O14">
        <f t="shared" si="3"/>
        <v>18.499999999999996</v>
      </c>
    </row>
    <row r="15" spans="1:15" x14ac:dyDescent="0.25">
      <c r="A15" s="1">
        <v>0.47916666666666702</v>
      </c>
      <c r="B15" s="1"/>
      <c r="C15">
        <v>21.3</v>
      </c>
      <c r="D15">
        <v>16.7</v>
      </c>
      <c r="E15">
        <v>19.899999999999999</v>
      </c>
      <c r="F15">
        <v>16.100000000000001</v>
      </c>
      <c r="H15">
        <f>D15-F15</f>
        <v>0.59999999999999787</v>
      </c>
      <c r="I15">
        <f>C15-E15</f>
        <v>1.4000000000000021</v>
      </c>
      <c r="K15">
        <f t="shared" si="0"/>
        <v>-4.6272727272727296</v>
      </c>
      <c r="L15">
        <f t="shared" si="1"/>
        <v>-3.0999999999999988</v>
      </c>
      <c r="N15">
        <f t="shared" si="2"/>
        <v>12.072727272727271</v>
      </c>
      <c r="O15">
        <f t="shared" si="3"/>
        <v>18.200000000000003</v>
      </c>
    </row>
    <row r="16" spans="1:15" x14ac:dyDescent="0.25">
      <c r="A16" s="1">
        <v>0.48263888888888901</v>
      </c>
      <c r="B16" s="1"/>
      <c r="C16">
        <v>21.4</v>
      </c>
      <c r="D16">
        <v>16.899999999999999</v>
      </c>
      <c r="E16">
        <v>20.6</v>
      </c>
      <c r="F16">
        <v>16.8</v>
      </c>
      <c r="H16">
        <f>D16-F16</f>
        <v>9.9999999999997868E-2</v>
      </c>
      <c r="I16">
        <f>C16-E16</f>
        <v>0.79999999999999716</v>
      </c>
      <c r="K16">
        <f t="shared" si="0"/>
        <v>-5.1272727272727296</v>
      </c>
      <c r="L16">
        <f t="shared" si="1"/>
        <v>-3.7000000000000037</v>
      </c>
      <c r="N16">
        <f t="shared" si="2"/>
        <v>11.77272727272727</v>
      </c>
      <c r="O16">
        <f t="shared" si="3"/>
        <v>17.699999999999996</v>
      </c>
    </row>
    <row r="17" spans="1:15" x14ac:dyDescent="0.25">
      <c r="A17" s="1">
        <v>0.48611111111111099</v>
      </c>
      <c r="B17" s="1"/>
      <c r="C17">
        <v>21.9</v>
      </c>
      <c r="D17">
        <v>18.100000000000001</v>
      </c>
      <c r="E17">
        <v>20.9</v>
      </c>
      <c r="F17">
        <v>16.8</v>
      </c>
      <c r="H17">
        <f>D17-F17</f>
        <v>1.3000000000000007</v>
      </c>
      <c r="I17">
        <f>C17-E17</f>
        <v>1</v>
      </c>
      <c r="K17">
        <f t="shared" si="0"/>
        <v>-3.9272727272727268</v>
      </c>
      <c r="L17">
        <f t="shared" si="1"/>
        <v>-3.5000000000000009</v>
      </c>
      <c r="N17">
        <f t="shared" si="2"/>
        <v>14.172727272727276</v>
      </c>
      <c r="O17">
        <f t="shared" si="3"/>
        <v>18.399999999999999</v>
      </c>
    </row>
    <row r="18" spans="1:15" x14ac:dyDescent="0.25">
      <c r="A18" s="1">
        <v>0.48958333333333298</v>
      </c>
      <c r="B18" s="1"/>
      <c r="C18">
        <v>22.4</v>
      </c>
      <c r="D18">
        <v>18.5</v>
      </c>
      <c r="E18">
        <v>21.2</v>
      </c>
      <c r="F18">
        <v>16.8</v>
      </c>
      <c r="H18">
        <f>D18-F18</f>
        <v>1.6999999999999993</v>
      </c>
      <c r="I18">
        <f>C18-E18</f>
        <v>1.1999999999999993</v>
      </c>
      <c r="K18">
        <f t="shared" si="0"/>
        <v>-3.5272727272727282</v>
      </c>
      <c r="L18">
        <f t="shared" si="1"/>
        <v>-3.3000000000000016</v>
      </c>
      <c r="N18">
        <f t="shared" si="2"/>
        <v>14.972727272727273</v>
      </c>
      <c r="O18">
        <f t="shared" si="3"/>
        <v>19.099999999999998</v>
      </c>
    </row>
    <row r="19" spans="1:15" x14ac:dyDescent="0.25">
      <c r="A19" s="1">
        <v>0.49305555555555503</v>
      </c>
      <c r="B19" s="1"/>
      <c r="C19">
        <v>22.5</v>
      </c>
      <c r="D19">
        <v>18.399999999999999</v>
      </c>
      <c r="E19">
        <v>21.3</v>
      </c>
      <c r="F19">
        <v>16.7</v>
      </c>
      <c r="H19">
        <f>D19-F19</f>
        <v>1.6999999999999993</v>
      </c>
      <c r="I19">
        <f>C19-E19</f>
        <v>1.1999999999999993</v>
      </c>
      <c r="K19">
        <f t="shared" si="0"/>
        <v>-3.5272727272727282</v>
      </c>
      <c r="L19">
        <f t="shared" si="1"/>
        <v>-3.3000000000000016</v>
      </c>
      <c r="N19">
        <f t="shared" si="2"/>
        <v>14.872727272727271</v>
      </c>
      <c r="O19">
        <f t="shared" si="3"/>
        <v>19.2</v>
      </c>
    </row>
    <row r="20" spans="1:15" x14ac:dyDescent="0.25">
      <c r="A20" s="1">
        <v>0.49652777777777801</v>
      </c>
      <c r="B20" s="1"/>
      <c r="C20">
        <v>22.6</v>
      </c>
      <c r="D20">
        <v>18.5</v>
      </c>
      <c r="E20">
        <v>21.4</v>
      </c>
      <c r="F20">
        <v>16.8</v>
      </c>
      <c r="H20">
        <f>D20-F20</f>
        <v>1.6999999999999993</v>
      </c>
      <c r="I20">
        <f>C20-E20</f>
        <v>1.2000000000000028</v>
      </c>
      <c r="K20">
        <f t="shared" si="0"/>
        <v>-3.5272727272727282</v>
      </c>
      <c r="L20">
        <f t="shared" si="1"/>
        <v>-3.299999999999998</v>
      </c>
      <c r="N20">
        <f t="shared" si="2"/>
        <v>14.972727272727273</v>
      </c>
      <c r="O20">
        <f t="shared" si="3"/>
        <v>19.300000000000004</v>
      </c>
    </row>
    <row r="21" spans="1:15" x14ac:dyDescent="0.25">
      <c r="A21" s="1">
        <v>0.5</v>
      </c>
      <c r="B21" s="1"/>
      <c r="C21">
        <v>22.5</v>
      </c>
      <c r="D21">
        <v>18.100000000000001</v>
      </c>
      <c r="E21">
        <v>21.1</v>
      </c>
      <c r="F21">
        <v>15.8</v>
      </c>
      <c r="H21">
        <f>D21-F21</f>
        <v>2.3000000000000007</v>
      </c>
      <c r="I21">
        <f>C21-E21</f>
        <v>1.3999999999999986</v>
      </c>
      <c r="K21">
        <f t="shared" si="0"/>
        <v>-2.9272727272727268</v>
      </c>
      <c r="L21">
        <f t="shared" si="1"/>
        <v>-3.1000000000000023</v>
      </c>
      <c r="N21">
        <f t="shared" si="2"/>
        <v>15.172727272727276</v>
      </c>
      <c r="O21">
        <f t="shared" si="3"/>
        <v>19.399999999999999</v>
      </c>
    </row>
    <row r="22" spans="1:15" x14ac:dyDescent="0.25">
      <c r="A22" s="1">
        <v>0.50347222222222199</v>
      </c>
      <c r="B22" s="1"/>
      <c r="C22">
        <v>22.5</v>
      </c>
      <c r="D22">
        <v>18.3</v>
      </c>
      <c r="E22">
        <v>20.8</v>
      </c>
      <c r="F22">
        <v>15.7</v>
      </c>
      <c r="H22">
        <f>D22-F22</f>
        <v>2.6000000000000014</v>
      </c>
      <c r="I22">
        <f>C22-E22</f>
        <v>1.6999999999999993</v>
      </c>
      <c r="K22">
        <f t="shared" si="0"/>
        <v>-2.6272727272727261</v>
      </c>
      <c r="L22">
        <f t="shared" si="1"/>
        <v>-2.8000000000000016</v>
      </c>
      <c r="N22">
        <f t="shared" si="2"/>
        <v>15.672727272727276</v>
      </c>
      <c r="O22">
        <f t="shared" si="3"/>
        <v>19.7</v>
      </c>
    </row>
    <row r="23" spans="1:15" x14ac:dyDescent="0.25">
      <c r="A23" s="1">
        <v>0.50694444444444398</v>
      </c>
      <c r="B23" s="1"/>
      <c r="C23">
        <v>22.4</v>
      </c>
      <c r="D23">
        <v>18</v>
      </c>
      <c r="E23">
        <v>19.2</v>
      </c>
      <c r="F23">
        <v>13.2</v>
      </c>
      <c r="H23">
        <f>D23-F23</f>
        <v>4.8000000000000007</v>
      </c>
      <c r="I23">
        <f>C23-E23</f>
        <v>3.1999999999999993</v>
      </c>
      <c r="K23">
        <f t="shared" si="0"/>
        <v>-0.4272727272727268</v>
      </c>
      <c r="L23">
        <f t="shared" si="1"/>
        <v>-1.3000000000000016</v>
      </c>
      <c r="N23">
        <f t="shared" si="2"/>
        <v>17.572727272727274</v>
      </c>
      <c r="O23">
        <f t="shared" si="3"/>
        <v>21.099999999999998</v>
      </c>
    </row>
    <row r="24" spans="1:15" x14ac:dyDescent="0.25">
      <c r="A24" s="1">
        <v>0.51041666666666596</v>
      </c>
      <c r="B24" s="1"/>
      <c r="C24">
        <v>22</v>
      </c>
      <c r="D24">
        <v>17.399999999999999</v>
      </c>
      <c r="E24">
        <v>19.600000000000001</v>
      </c>
      <c r="F24">
        <v>14.6</v>
      </c>
      <c r="H24">
        <f>D24-F24</f>
        <v>2.7999999999999989</v>
      </c>
      <c r="I24">
        <f>C24-E24</f>
        <v>2.3999999999999986</v>
      </c>
      <c r="K24">
        <f t="shared" si="0"/>
        <v>-2.4272727272727286</v>
      </c>
      <c r="L24">
        <f t="shared" si="1"/>
        <v>-2.1000000000000023</v>
      </c>
      <c r="N24">
        <f t="shared" si="2"/>
        <v>14.972727272727269</v>
      </c>
      <c r="O24">
        <f t="shared" si="3"/>
        <v>19.899999999999999</v>
      </c>
    </row>
    <row r="25" spans="1:15" x14ac:dyDescent="0.25">
      <c r="A25" s="1">
        <v>0.51388888888888895</v>
      </c>
      <c r="B25" s="1"/>
      <c r="C25">
        <v>22.3</v>
      </c>
      <c r="D25">
        <v>18</v>
      </c>
      <c r="E25">
        <v>19.3</v>
      </c>
      <c r="F25">
        <v>14</v>
      </c>
      <c r="H25">
        <f>D25-F25</f>
        <v>4</v>
      </c>
      <c r="I25">
        <f>C25-E25</f>
        <v>3</v>
      </c>
      <c r="K25">
        <f t="shared" si="0"/>
        <v>-1.2272727272727275</v>
      </c>
      <c r="L25">
        <f t="shared" si="1"/>
        <v>-1.5000000000000009</v>
      </c>
      <c r="N25">
        <f t="shared" si="2"/>
        <v>16.772727272727273</v>
      </c>
      <c r="O25">
        <f t="shared" si="3"/>
        <v>20.8</v>
      </c>
    </row>
    <row r="26" spans="1:15" x14ac:dyDescent="0.25">
      <c r="A26" s="1">
        <v>0.51736111111111105</v>
      </c>
      <c r="B26" s="1"/>
      <c r="C26">
        <v>22.1</v>
      </c>
      <c r="D26">
        <v>18</v>
      </c>
      <c r="E26">
        <v>18.899999999999999</v>
      </c>
      <c r="F26">
        <v>13.9</v>
      </c>
      <c r="H26">
        <f>D26-F26</f>
        <v>4.0999999999999996</v>
      </c>
      <c r="I26">
        <f>C26-E26</f>
        <v>3.2000000000000028</v>
      </c>
      <c r="K26">
        <f t="shared" si="0"/>
        <v>-1.1272727272727279</v>
      </c>
      <c r="L26">
        <f t="shared" si="1"/>
        <v>-1.299999999999998</v>
      </c>
      <c r="N26">
        <f t="shared" si="2"/>
        <v>16.872727272727271</v>
      </c>
      <c r="O26">
        <f t="shared" si="3"/>
        <v>20.800000000000004</v>
      </c>
    </row>
    <row r="27" spans="1:15" x14ac:dyDescent="0.25">
      <c r="A27" s="1">
        <v>0.52083333333333304</v>
      </c>
      <c r="B27" s="1"/>
      <c r="C27">
        <v>22.4</v>
      </c>
      <c r="D27">
        <v>18.399999999999999</v>
      </c>
      <c r="E27">
        <v>18.5</v>
      </c>
      <c r="F27">
        <v>13.5</v>
      </c>
      <c r="H27">
        <f>D27-F27</f>
        <v>4.8999999999999986</v>
      </c>
      <c r="I27">
        <f>C27-E27</f>
        <v>3.8999999999999986</v>
      </c>
      <c r="K27">
        <f t="shared" si="0"/>
        <v>-0.32727272727272894</v>
      </c>
      <c r="L27">
        <f t="shared" si="1"/>
        <v>-0.60000000000000231</v>
      </c>
      <c r="N27">
        <f t="shared" si="2"/>
        <v>18.072727272727271</v>
      </c>
      <c r="O27">
        <f t="shared" si="3"/>
        <v>21.799999999999997</v>
      </c>
    </row>
    <row r="28" spans="1:15" x14ac:dyDescent="0.25">
      <c r="A28" s="1">
        <v>0.52430555555555503</v>
      </c>
      <c r="B28" s="1"/>
      <c r="C28">
        <v>22.5</v>
      </c>
      <c r="D28">
        <v>18.600000000000001</v>
      </c>
      <c r="E28">
        <v>18.2</v>
      </c>
      <c r="F28">
        <v>13.2</v>
      </c>
      <c r="H28">
        <f>D28-F28</f>
        <v>5.4000000000000021</v>
      </c>
      <c r="I28">
        <f>C28-E28</f>
        <v>4.3000000000000007</v>
      </c>
      <c r="K28">
        <f t="shared" si="0"/>
        <v>0.17272727272727462</v>
      </c>
      <c r="L28">
        <f t="shared" si="1"/>
        <v>-0.20000000000000018</v>
      </c>
      <c r="N28">
        <f t="shared" si="2"/>
        <v>18.772727272727277</v>
      </c>
      <c r="O28">
        <f t="shared" si="3"/>
        <v>22.3</v>
      </c>
    </row>
    <row r="29" spans="1:15" x14ac:dyDescent="0.25">
      <c r="A29" s="1">
        <v>0.52777777777777701</v>
      </c>
      <c r="B29" s="1"/>
      <c r="C29">
        <v>22.6</v>
      </c>
      <c r="D29">
        <v>18.600000000000001</v>
      </c>
      <c r="E29">
        <v>18.100000000000001</v>
      </c>
      <c r="F29">
        <v>13.2</v>
      </c>
      <c r="H29">
        <f>D29-F29</f>
        <v>5.4000000000000021</v>
      </c>
      <c r="I29">
        <f>C29-E29</f>
        <v>4.5</v>
      </c>
      <c r="K29">
        <f t="shared" si="0"/>
        <v>0.17272727272727462</v>
      </c>
      <c r="L29">
        <f t="shared" si="1"/>
        <v>0</v>
      </c>
      <c r="N29">
        <f t="shared" si="2"/>
        <v>18.772727272727277</v>
      </c>
      <c r="O29">
        <f t="shared" si="3"/>
        <v>22.6</v>
      </c>
    </row>
    <row r="30" spans="1:15" x14ac:dyDescent="0.25">
      <c r="A30" s="1">
        <v>0.53125</v>
      </c>
      <c r="B30" s="1"/>
      <c r="C30">
        <v>22.6</v>
      </c>
      <c r="D30">
        <v>18.5</v>
      </c>
      <c r="E30">
        <v>18</v>
      </c>
      <c r="F30">
        <v>13.1</v>
      </c>
      <c r="H30">
        <f>D30-F30</f>
        <v>5.4</v>
      </c>
      <c r="I30">
        <f>C30-E30</f>
        <v>4.6000000000000014</v>
      </c>
      <c r="K30">
        <f t="shared" si="0"/>
        <v>0.17272727272727284</v>
      </c>
      <c r="L30">
        <f t="shared" si="1"/>
        <v>0.10000000000000053</v>
      </c>
      <c r="N30">
        <f t="shared" si="2"/>
        <v>18.672727272727272</v>
      </c>
      <c r="O30">
        <f t="shared" si="3"/>
        <v>22.700000000000003</v>
      </c>
    </row>
    <row r="31" spans="1:15" x14ac:dyDescent="0.25">
      <c r="A31" s="1">
        <v>0.53472222222222199</v>
      </c>
      <c r="B31" s="1"/>
      <c r="C31">
        <v>22.6</v>
      </c>
      <c r="D31">
        <v>18.399999999999999</v>
      </c>
      <c r="E31">
        <v>18.100000000000001</v>
      </c>
      <c r="F31">
        <v>13.2</v>
      </c>
      <c r="H31">
        <f>D31-F31</f>
        <v>5.1999999999999993</v>
      </c>
      <c r="I31">
        <f>C31-E31</f>
        <v>4.5</v>
      </c>
      <c r="K31">
        <f t="shared" si="0"/>
        <v>-2.7272727272728226E-2</v>
      </c>
      <c r="L31">
        <f t="shared" si="1"/>
        <v>0</v>
      </c>
      <c r="N31">
        <f t="shared" si="2"/>
        <v>18.372727272727271</v>
      </c>
      <c r="O31">
        <f t="shared" si="3"/>
        <v>22.6</v>
      </c>
    </row>
    <row r="32" spans="1:15" x14ac:dyDescent="0.25">
      <c r="A32" s="1">
        <v>0.53819444444444398</v>
      </c>
      <c r="B32" s="1"/>
      <c r="C32">
        <v>22.5</v>
      </c>
      <c r="D32">
        <v>18.3</v>
      </c>
      <c r="E32">
        <v>18</v>
      </c>
      <c r="F32">
        <v>13.1</v>
      </c>
      <c r="H32">
        <f>D32-F32</f>
        <v>5.2000000000000011</v>
      </c>
      <c r="I32">
        <f>C32-E32</f>
        <v>4.5</v>
      </c>
      <c r="K32">
        <f t="shared" si="0"/>
        <v>-2.7272727272726449E-2</v>
      </c>
      <c r="L32">
        <f t="shared" si="1"/>
        <v>0</v>
      </c>
      <c r="N32">
        <f t="shared" si="2"/>
        <v>18.272727272727273</v>
      </c>
      <c r="O32">
        <f t="shared" si="3"/>
        <v>22.5</v>
      </c>
    </row>
    <row r="33" spans="1:15" x14ac:dyDescent="0.25">
      <c r="A33" s="1">
        <v>0.54166666666666696</v>
      </c>
      <c r="B33" s="1"/>
      <c r="C33">
        <v>22.6</v>
      </c>
      <c r="D33">
        <v>18.5</v>
      </c>
      <c r="E33">
        <v>18</v>
      </c>
      <c r="F33">
        <v>13.1</v>
      </c>
      <c r="H33">
        <f>D33-F33</f>
        <v>5.4</v>
      </c>
      <c r="I33">
        <f>C33-E33</f>
        <v>4.6000000000000014</v>
      </c>
      <c r="K33">
        <f t="shared" si="0"/>
        <v>0.17272727272727284</v>
      </c>
      <c r="L33">
        <f t="shared" si="1"/>
        <v>0.10000000000000053</v>
      </c>
      <c r="N33">
        <f t="shared" si="2"/>
        <v>18.672727272727272</v>
      </c>
      <c r="O33">
        <f t="shared" si="3"/>
        <v>22.700000000000003</v>
      </c>
    </row>
    <row r="34" spans="1:15" x14ac:dyDescent="0.25">
      <c r="A34" s="1">
        <v>0.54513888888888895</v>
      </c>
      <c r="B34" s="1"/>
      <c r="C34">
        <v>22.5</v>
      </c>
      <c r="D34">
        <v>18.2</v>
      </c>
      <c r="E34">
        <v>18</v>
      </c>
      <c r="F34">
        <v>13.1</v>
      </c>
      <c r="H34">
        <f>D34-F34</f>
        <v>5.0999999999999996</v>
      </c>
      <c r="I34">
        <f>C34-E34</f>
        <v>4.5</v>
      </c>
      <c r="K34">
        <f t="shared" si="0"/>
        <v>-0.12727272727272787</v>
      </c>
      <c r="L34">
        <f t="shared" si="1"/>
        <v>0</v>
      </c>
      <c r="N34">
        <f t="shared" si="2"/>
        <v>18.072727272727271</v>
      </c>
      <c r="O34">
        <f t="shared" si="3"/>
        <v>22.5</v>
      </c>
    </row>
    <row r="35" spans="1:15" x14ac:dyDescent="0.25">
      <c r="A35" s="1">
        <v>0.54861111111111105</v>
      </c>
      <c r="B35" s="1"/>
      <c r="C35">
        <v>22.5</v>
      </c>
      <c r="D35">
        <v>18.2</v>
      </c>
      <c r="E35">
        <v>17.899999999999999</v>
      </c>
      <c r="F35">
        <v>13</v>
      </c>
      <c r="H35">
        <f>D35-F35</f>
        <v>5.1999999999999993</v>
      </c>
      <c r="I35">
        <f>C35-E35</f>
        <v>4.6000000000000014</v>
      </c>
      <c r="K35">
        <f t="shared" si="0"/>
        <v>-2.7272727272728226E-2</v>
      </c>
      <c r="L35">
        <f t="shared" si="1"/>
        <v>0.10000000000000053</v>
      </c>
      <c r="N35">
        <f t="shared" si="2"/>
        <v>18.172727272727272</v>
      </c>
      <c r="O35">
        <f t="shared" si="3"/>
        <v>22.6</v>
      </c>
    </row>
    <row r="36" spans="1:15" x14ac:dyDescent="0.25">
      <c r="A36" s="1">
        <v>0.55208333333333304</v>
      </c>
      <c r="B36" s="1"/>
      <c r="C36">
        <v>22.4</v>
      </c>
      <c r="D36">
        <v>18.100000000000001</v>
      </c>
      <c r="E36">
        <v>17.899999999999999</v>
      </c>
      <c r="F36">
        <v>13</v>
      </c>
      <c r="H36">
        <f>D36-F36</f>
        <v>5.1000000000000014</v>
      </c>
      <c r="I36">
        <f>C36-E36</f>
        <v>4.5</v>
      </c>
      <c r="K36">
        <f t="shared" si="0"/>
        <v>-0.12727272727272609</v>
      </c>
      <c r="L36">
        <f t="shared" si="1"/>
        <v>0</v>
      </c>
      <c r="N36">
        <f t="shared" si="2"/>
        <v>17.972727272727276</v>
      </c>
      <c r="O36">
        <f t="shared" si="3"/>
        <v>22.4</v>
      </c>
    </row>
    <row r="37" spans="1:15" x14ac:dyDescent="0.25">
      <c r="A37" s="1">
        <v>0.55555555555555503</v>
      </c>
      <c r="B37" s="1"/>
      <c r="C37">
        <v>22.4</v>
      </c>
      <c r="D37">
        <v>18.100000000000001</v>
      </c>
      <c r="E37">
        <v>17.899999999999999</v>
      </c>
      <c r="F37">
        <v>13</v>
      </c>
      <c r="H37">
        <f>D37-F37</f>
        <v>5.1000000000000014</v>
      </c>
      <c r="I37">
        <f>C37-E37</f>
        <v>4.5</v>
      </c>
      <c r="K37">
        <f t="shared" si="0"/>
        <v>-0.12727272727272609</v>
      </c>
      <c r="L37">
        <f t="shared" si="1"/>
        <v>0</v>
      </c>
      <c r="N37">
        <f t="shared" si="2"/>
        <v>17.972727272727276</v>
      </c>
      <c r="O37">
        <f t="shared" si="3"/>
        <v>22.4</v>
      </c>
    </row>
    <row r="38" spans="1:15" x14ac:dyDescent="0.25">
      <c r="A38" s="1">
        <v>0.55902777777777801</v>
      </c>
      <c r="B38" s="1"/>
      <c r="C38">
        <v>22.4</v>
      </c>
      <c r="D38">
        <v>18.100000000000001</v>
      </c>
      <c r="E38">
        <v>18</v>
      </c>
      <c r="F38">
        <v>13.1</v>
      </c>
      <c r="H38">
        <f>D38-F38</f>
        <v>5.0000000000000018</v>
      </c>
      <c r="I38">
        <f>C38-E38</f>
        <v>4.3999999999999986</v>
      </c>
      <c r="K38">
        <f t="shared" si="0"/>
        <v>-0.22727272727272574</v>
      </c>
      <c r="L38">
        <f t="shared" si="1"/>
        <v>-0.10000000000000231</v>
      </c>
      <c r="N38">
        <f t="shared" si="2"/>
        <v>17.872727272727275</v>
      </c>
      <c r="O38">
        <f t="shared" si="3"/>
        <v>22.299999999999997</v>
      </c>
    </row>
    <row r="39" spans="1:15" x14ac:dyDescent="0.25">
      <c r="A39" s="1">
        <v>0.5625</v>
      </c>
      <c r="B39" s="1"/>
      <c r="C39">
        <v>25.4</v>
      </c>
      <c r="D39">
        <v>20.9</v>
      </c>
      <c r="E39">
        <v>18.399999999999999</v>
      </c>
      <c r="F39">
        <v>14.1</v>
      </c>
      <c r="H39">
        <f>D39-F39</f>
        <v>6.7999999999999989</v>
      </c>
      <c r="I39">
        <f>C39-E39</f>
        <v>7</v>
      </c>
      <c r="K39">
        <f t="shared" si="0"/>
        <v>1.5727272727272714</v>
      </c>
      <c r="L39">
        <f t="shared" si="1"/>
        <v>2.4999999999999991</v>
      </c>
      <c r="N39">
        <f t="shared" si="2"/>
        <v>22.472727272727269</v>
      </c>
      <c r="O39">
        <f t="shared" si="3"/>
        <v>27.9</v>
      </c>
    </row>
    <row r="40" spans="1:15" x14ac:dyDescent="0.25">
      <c r="A40" s="1">
        <v>0.56597222222222199</v>
      </c>
      <c r="B40" s="1"/>
      <c r="C40">
        <v>26.4</v>
      </c>
      <c r="D40">
        <v>21.2</v>
      </c>
      <c r="E40">
        <v>19</v>
      </c>
      <c r="F40">
        <v>15.3</v>
      </c>
      <c r="H40">
        <f>D40-F40</f>
        <v>5.8999999999999986</v>
      </c>
      <c r="I40">
        <f>C40-E40</f>
        <v>7.3999999999999986</v>
      </c>
      <c r="K40">
        <f t="shared" si="0"/>
        <v>0.67272727272727106</v>
      </c>
      <c r="L40">
        <f t="shared" si="1"/>
        <v>2.8999999999999977</v>
      </c>
      <c r="N40">
        <f t="shared" si="2"/>
        <v>21.872727272727271</v>
      </c>
      <c r="O40">
        <f t="shared" si="3"/>
        <v>29.299999999999997</v>
      </c>
    </row>
    <row r="41" spans="1:15" x14ac:dyDescent="0.25">
      <c r="A41" s="1">
        <v>0.56944444444444398</v>
      </c>
      <c r="B41" s="1"/>
      <c r="C41">
        <v>27.6</v>
      </c>
      <c r="D41">
        <v>21.7</v>
      </c>
      <c r="E41">
        <v>18.399999999999999</v>
      </c>
      <c r="F41">
        <v>14</v>
      </c>
      <c r="H41">
        <f>D41-F41</f>
        <v>7.6999999999999993</v>
      </c>
      <c r="I41">
        <f>C41-E41</f>
        <v>9.2000000000000028</v>
      </c>
      <c r="K41">
        <f t="shared" si="0"/>
        <v>2.4727272727272718</v>
      </c>
      <c r="L41">
        <f t="shared" si="1"/>
        <v>4.700000000000002</v>
      </c>
      <c r="N41">
        <f t="shared" si="2"/>
        <v>24.172727272727272</v>
      </c>
      <c r="O41">
        <f t="shared" si="3"/>
        <v>32.300000000000004</v>
      </c>
    </row>
    <row r="42" spans="1:15" x14ac:dyDescent="0.25">
      <c r="A42" s="1">
        <v>0.57291666666666596</v>
      </c>
      <c r="B42" s="1"/>
      <c r="C42">
        <v>27.8</v>
      </c>
      <c r="D42">
        <v>21.4</v>
      </c>
      <c r="E42">
        <v>18.2</v>
      </c>
      <c r="F42">
        <v>13.5</v>
      </c>
      <c r="H42">
        <f>D42-F42</f>
        <v>7.8999999999999986</v>
      </c>
      <c r="I42">
        <f>C42-E42</f>
        <v>9.6000000000000014</v>
      </c>
      <c r="K42">
        <f t="shared" si="0"/>
        <v>2.6727272727272711</v>
      </c>
      <c r="L42">
        <f t="shared" si="1"/>
        <v>5.1000000000000005</v>
      </c>
      <c r="N42">
        <f t="shared" si="2"/>
        <v>24.072727272727271</v>
      </c>
      <c r="O42">
        <f t="shared" si="3"/>
        <v>32.9</v>
      </c>
    </row>
    <row r="43" spans="1:15" x14ac:dyDescent="0.25">
      <c r="A43" s="1">
        <v>0.57638888888888895</v>
      </c>
      <c r="B43" s="1"/>
      <c r="C43">
        <v>29.3</v>
      </c>
      <c r="D43">
        <v>22.7</v>
      </c>
      <c r="E43">
        <v>18.3</v>
      </c>
      <c r="F43">
        <v>13.6</v>
      </c>
      <c r="H43">
        <f>D43-F43</f>
        <v>9.1</v>
      </c>
      <c r="I43">
        <f>C43-E43</f>
        <v>11</v>
      </c>
      <c r="K43">
        <f t="shared" si="0"/>
        <v>3.8727272727272721</v>
      </c>
      <c r="L43">
        <f t="shared" si="1"/>
        <v>6.4999999999999991</v>
      </c>
      <c r="N43">
        <f t="shared" si="2"/>
        <v>26.572727272727271</v>
      </c>
      <c r="O43">
        <f t="shared" si="3"/>
        <v>35.799999999999997</v>
      </c>
    </row>
    <row r="44" spans="1:15" x14ac:dyDescent="0.25">
      <c r="A44" s="1">
        <v>0.57986111111111105</v>
      </c>
      <c r="B44" s="1"/>
      <c r="C44">
        <v>28.2</v>
      </c>
      <c r="D44">
        <v>21.1</v>
      </c>
      <c r="E44">
        <v>18.2</v>
      </c>
      <c r="F44">
        <v>13.4</v>
      </c>
      <c r="H44">
        <f>D44-F44</f>
        <v>7.7000000000000011</v>
      </c>
      <c r="I44">
        <f>C44-E44</f>
        <v>10</v>
      </c>
      <c r="K44">
        <f t="shared" si="0"/>
        <v>2.4727272727272736</v>
      </c>
      <c r="L44">
        <f t="shared" si="1"/>
        <v>5.4999999999999991</v>
      </c>
      <c r="N44">
        <f t="shared" si="2"/>
        <v>23.572727272727274</v>
      </c>
      <c r="O44">
        <f t="shared" si="3"/>
        <v>33.699999999999996</v>
      </c>
    </row>
    <row r="45" spans="1:15" x14ac:dyDescent="0.25">
      <c r="A45" s="1">
        <v>0.58333333333333304</v>
      </c>
      <c r="B45" s="1"/>
      <c r="C45">
        <v>26.6</v>
      </c>
      <c r="D45">
        <v>19.899999999999999</v>
      </c>
      <c r="E45">
        <v>18.100000000000001</v>
      </c>
      <c r="F45">
        <v>13.2</v>
      </c>
      <c r="H45">
        <f>D45-F45</f>
        <v>6.6999999999999993</v>
      </c>
      <c r="I45">
        <f>C45-E45</f>
        <v>8.5</v>
      </c>
      <c r="K45">
        <f t="shared" si="0"/>
        <v>1.4727272727272718</v>
      </c>
      <c r="L45">
        <f t="shared" si="1"/>
        <v>3.9999999999999991</v>
      </c>
      <c r="N45">
        <f t="shared" si="2"/>
        <v>21.372727272727271</v>
      </c>
      <c r="O45">
        <f t="shared" si="3"/>
        <v>30.6</v>
      </c>
    </row>
    <row r="46" spans="1:15" x14ac:dyDescent="0.25">
      <c r="A46" s="1">
        <v>0.58680555555555503</v>
      </c>
      <c r="B46" s="1"/>
      <c r="C46">
        <v>29.9</v>
      </c>
      <c r="D46">
        <v>23.3</v>
      </c>
      <c r="E46">
        <v>18</v>
      </c>
      <c r="F46">
        <v>13.2</v>
      </c>
      <c r="H46">
        <f>D46-F46</f>
        <v>10.100000000000001</v>
      </c>
      <c r="I46">
        <f>C46-E46</f>
        <v>11.899999999999999</v>
      </c>
      <c r="K46">
        <f t="shared" si="0"/>
        <v>4.8727272727272739</v>
      </c>
      <c r="L46">
        <f t="shared" si="1"/>
        <v>7.3999999999999977</v>
      </c>
      <c r="N46">
        <f t="shared" si="2"/>
        <v>28.172727272727276</v>
      </c>
      <c r="O46">
        <f t="shared" si="3"/>
        <v>37.299999999999997</v>
      </c>
    </row>
    <row r="47" spans="1:15" x14ac:dyDescent="0.25">
      <c r="A47" s="1">
        <v>0.59027777777777701</v>
      </c>
      <c r="B47" s="1"/>
      <c r="C47">
        <v>29.9</v>
      </c>
      <c r="D47">
        <v>23</v>
      </c>
      <c r="E47">
        <v>18</v>
      </c>
      <c r="F47">
        <v>13.2</v>
      </c>
      <c r="H47">
        <f>D47-F47</f>
        <v>9.8000000000000007</v>
      </c>
      <c r="I47">
        <f>C47-E47</f>
        <v>11.899999999999999</v>
      </c>
      <c r="K47">
        <f t="shared" si="0"/>
        <v>4.5727272727272732</v>
      </c>
      <c r="L47">
        <f t="shared" si="1"/>
        <v>7.3999999999999977</v>
      </c>
      <c r="N47">
        <f t="shared" si="2"/>
        <v>27.572727272727274</v>
      </c>
      <c r="O47">
        <f t="shared" si="3"/>
        <v>37.299999999999997</v>
      </c>
    </row>
    <row r="48" spans="1:15" x14ac:dyDescent="0.25">
      <c r="A48" s="1">
        <v>0.59375</v>
      </c>
      <c r="B48" s="1"/>
      <c r="C48">
        <v>30.2</v>
      </c>
      <c r="D48">
        <v>23</v>
      </c>
      <c r="E48">
        <v>18</v>
      </c>
      <c r="F48">
        <v>13.2</v>
      </c>
      <c r="H48">
        <f>D48-F48</f>
        <v>9.8000000000000007</v>
      </c>
      <c r="I48">
        <f>C48-E48</f>
        <v>12.2</v>
      </c>
      <c r="K48">
        <f t="shared" si="0"/>
        <v>4.5727272727272732</v>
      </c>
      <c r="L48">
        <f t="shared" si="1"/>
        <v>7.6999999999999984</v>
      </c>
      <c r="N48">
        <f t="shared" si="2"/>
        <v>27.572727272727274</v>
      </c>
      <c r="O48">
        <f t="shared" si="3"/>
        <v>37.9</v>
      </c>
    </row>
    <row r="49" spans="1:15" x14ac:dyDescent="0.25">
      <c r="A49" s="1">
        <v>0.59722222222222199</v>
      </c>
      <c r="B49" s="1"/>
      <c r="C49">
        <v>30.1</v>
      </c>
      <c r="D49">
        <v>22.8</v>
      </c>
      <c r="E49">
        <v>18</v>
      </c>
      <c r="F49">
        <v>13.1</v>
      </c>
      <c r="H49">
        <f>D49-F49</f>
        <v>9.7000000000000011</v>
      </c>
      <c r="I49">
        <f>C49-E49</f>
        <v>12.100000000000001</v>
      </c>
      <c r="K49">
        <f t="shared" si="0"/>
        <v>4.4727272727272736</v>
      </c>
      <c r="L49">
        <f t="shared" si="1"/>
        <v>7.6000000000000005</v>
      </c>
      <c r="N49">
        <f t="shared" si="2"/>
        <v>27.272727272727273</v>
      </c>
      <c r="O49">
        <f t="shared" si="3"/>
        <v>37.700000000000003</v>
      </c>
    </row>
    <row r="50" spans="1:15" x14ac:dyDescent="0.25">
      <c r="A50" s="1">
        <v>0.60069444444444398</v>
      </c>
      <c r="B50" s="1"/>
      <c r="C50">
        <v>30.4</v>
      </c>
      <c r="D50">
        <v>23</v>
      </c>
      <c r="E50">
        <v>18</v>
      </c>
      <c r="F50">
        <v>13.1</v>
      </c>
      <c r="H50">
        <f>D50-F50</f>
        <v>9.9</v>
      </c>
      <c r="I50">
        <f>C50-E50</f>
        <v>12.399999999999999</v>
      </c>
      <c r="K50">
        <f t="shared" si="0"/>
        <v>4.6727272727272728</v>
      </c>
      <c r="L50">
        <f t="shared" si="1"/>
        <v>7.8999999999999977</v>
      </c>
      <c r="N50">
        <f t="shared" si="2"/>
        <v>27.672727272727272</v>
      </c>
      <c r="O50">
        <f t="shared" si="3"/>
        <v>38.299999999999997</v>
      </c>
    </row>
    <row r="51" spans="1:15" x14ac:dyDescent="0.25">
      <c r="A51" s="1">
        <v>0.60416666666666596</v>
      </c>
      <c r="B51" s="1"/>
      <c r="C51">
        <v>30.4</v>
      </c>
      <c r="D51">
        <v>22.7</v>
      </c>
      <c r="E51">
        <v>18</v>
      </c>
      <c r="F51">
        <v>13.1</v>
      </c>
      <c r="H51">
        <f>D51-F51</f>
        <v>9.6</v>
      </c>
      <c r="I51">
        <f>C51-E51</f>
        <v>12.399999999999999</v>
      </c>
      <c r="K51">
        <f t="shared" si="0"/>
        <v>4.3727272727272721</v>
      </c>
      <c r="L51">
        <f t="shared" si="1"/>
        <v>7.8999999999999977</v>
      </c>
      <c r="N51">
        <f t="shared" si="2"/>
        <v>27.072727272727271</v>
      </c>
      <c r="O51">
        <f t="shared" si="3"/>
        <v>38.299999999999997</v>
      </c>
    </row>
    <row r="52" spans="1:15" x14ac:dyDescent="0.25">
      <c r="A52" s="1">
        <v>0.60763888888888795</v>
      </c>
      <c r="B52" s="1"/>
      <c r="C52">
        <v>27.6</v>
      </c>
      <c r="D52">
        <v>20.8</v>
      </c>
      <c r="E52">
        <v>18</v>
      </c>
      <c r="F52">
        <v>13.1</v>
      </c>
      <c r="H52">
        <f>D52-F52</f>
        <v>7.7000000000000011</v>
      </c>
      <c r="I52">
        <f>C52-E52</f>
        <v>9.6000000000000014</v>
      </c>
      <c r="K52">
        <f t="shared" si="0"/>
        <v>2.4727272727272736</v>
      </c>
      <c r="L52">
        <f t="shared" si="1"/>
        <v>5.1000000000000005</v>
      </c>
      <c r="N52">
        <f t="shared" si="2"/>
        <v>23.272727272727273</v>
      </c>
      <c r="O52">
        <f t="shared" si="3"/>
        <v>32.700000000000003</v>
      </c>
    </row>
    <row r="53" spans="1:15" x14ac:dyDescent="0.25">
      <c r="A53" s="1">
        <v>0.61111111111111105</v>
      </c>
      <c r="B53" s="1"/>
      <c r="C53">
        <v>26.8</v>
      </c>
      <c r="D53">
        <v>20.6</v>
      </c>
      <c r="E53">
        <v>18</v>
      </c>
      <c r="F53">
        <v>13.1</v>
      </c>
      <c r="H53">
        <f>D53-F53</f>
        <v>7.5000000000000018</v>
      </c>
      <c r="I53">
        <f>C53-E53</f>
        <v>8.8000000000000007</v>
      </c>
      <c r="K53">
        <f t="shared" si="0"/>
        <v>2.2727272727272743</v>
      </c>
      <c r="L53">
        <f t="shared" si="1"/>
        <v>4.3</v>
      </c>
      <c r="N53">
        <f t="shared" si="2"/>
        <v>22.872727272727275</v>
      </c>
      <c r="O53">
        <f t="shared" si="3"/>
        <v>31.1</v>
      </c>
    </row>
    <row r="54" spans="1:15" x14ac:dyDescent="0.25">
      <c r="A54" s="1">
        <v>0.61458333333333304</v>
      </c>
      <c r="B54" s="1"/>
      <c r="C54">
        <v>28</v>
      </c>
      <c r="D54">
        <v>21.7</v>
      </c>
      <c r="E54">
        <v>18</v>
      </c>
      <c r="F54">
        <v>13</v>
      </c>
      <c r="H54">
        <f>D54-F54</f>
        <v>8.6999999999999993</v>
      </c>
      <c r="I54">
        <f>C54-E54</f>
        <v>10</v>
      </c>
      <c r="K54">
        <f t="shared" si="0"/>
        <v>3.4727272727272718</v>
      </c>
      <c r="L54">
        <f t="shared" si="1"/>
        <v>5.4999999999999991</v>
      </c>
      <c r="N54">
        <f t="shared" si="2"/>
        <v>25.172727272727272</v>
      </c>
      <c r="O54">
        <f t="shared" si="3"/>
        <v>33.5</v>
      </c>
    </row>
    <row r="55" spans="1:15" x14ac:dyDescent="0.25">
      <c r="A55" s="1">
        <v>0.61805555555555503</v>
      </c>
      <c r="B55" s="1"/>
      <c r="C55">
        <v>30.2</v>
      </c>
      <c r="D55">
        <v>23.3</v>
      </c>
      <c r="E55">
        <v>18</v>
      </c>
      <c r="F55">
        <v>13</v>
      </c>
      <c r="H55">
        <f>D55-F55</f>
        <v>10.3</v>
      </c>
      <c r="I55">
        <f>C55-E55</f>
        <v>12.2</v>
      </c>
      <c r="K55">
        <f t="shared" si="0"/>
        <v>5.0727272727272732</v>
      </c>
      <c r="L55">
        <f t="shared" si="1"/>
        <v>7.6999999999999984</v>
      </c>
      <c r="N55">
        <f t="shared" si="2"/>
        <v>28.372727272727275</v>
      </c>
      <c r="O55">
        <f t="shared" si="3"/>
        <v>37.9</v>
      </c>
    </row>
    <row r="56" spans="1:15" x14ac:dyDescent="0.25">
      <c r="A56" s="1">
        <v>0.62152777777777701</v>
      </c>
      <c r="B56" s="1"/>
      <c r="C56">
        <v>28.1</v>
      </c>
      <c r="D56">
        <v>21.2</v>
      </c>
      <c r="E56">
        <v>17.899999999999999</v>
      </c>
      <c r="F56">
        <v>13</v>
      </c>
      <c r="H56">
        <f>D56-F56</f>
        <v>8.1999999999999993</v>
      </c>
      <c r="I56">
        <f>C56-E56</f>
        <v>10.200000000000003</v>
      </c>
      <c r="K56">
        <f t="shared" si="0"/>
        <v>2.9727272727272718</v>
      </c>
      <c r="L56">
        <f t="shared" si="1"/>
        <v>5.700000000000002</v>
      </c>
      <c r="N56">
        <f t="shared" si="2"/>
        <v>24.172727272727272</v>
      </c>
      <c r="O56">
        <f t="shared" si="3"/>
        <v>33.800000000000004</v>
      </c>
    </row>
    <row r="57" spans="1:15" x14ac:dyDescent="0.25">
      <c r="A57" s="1">
        <v>0.625</v>
      </c>
      <c r="B57" s="1"/>
      <c r="C57">
        <v>26.1</v>
      </c>
      <c r="D57">
        <v>19.899999999999999</v>
      </c>
      <c r="E57">
        <v>18.100000000000001</v>
      </c>
      <c r="F57">
        <v>13.3</v>
      </c>
      <c r="H57">
        <f>D57-F57</f>
        <v>6.5999999999999979</v>
      </c>
      <c r="I57">
        <f>C57-E57</f>
        <v>8</v>
      </c>
      <c r="K57">
        <f t="shared" si="0"/>
        <v>1.3727272727272704</v>
      </c>
      <c r="L57">
        <f t="shared" si="1"/>
        <v>3.4999999999999991</v>
      </c>
      <c r="N57">
        <f t="shared" si="2"/>
        <v>21.27272727272727</v>
      </c>
      <c r="O57">
        <f t="shared" si="3"/>
        <v>29.6</v>
      </c>
    </row>
    <row r="58" spans="1:15" x14ac:dyDescent="0.25">
      <c r="A58" s="1">
        <v>0.62847222222222199</v>
      </c>
      <c r="B58" s="1"/>
      <c r="C58">
        <v>24.4</v>
      </c>
      <c r="D58">
        <v>18.8</v>
      </c>
      <c r="E58">
        <v>17.899999999999999</v>
      </c>
      <c r="F58">
        <v>12.9</v>
      </c>
      <c r="H58">
        <f>D58-F58</f>
        <v>5.9</v>
      </c>
      <c r="I58">
        <f>C58-E58</f>
        <v>6.5</v>
      </c>
      <c r="K58">
        <f t="shared" si="0"/>
        <v>0.67272727272727284</v>
      </c>
      <c r="L58">
        <f t="shared" si="1"/>
        <v>1.9999999999999991</v>
      </c>
      <c r="N58">
        <f t="shared" si="2"/>
        <v>19.472727272727273</v>
      </c>
      <c r="O58">
        <f t="shared" si="3"/>
        <v>26.4</v>
      </c>
    </row>
    <row r="59" spans="1:15" x14ac:dyDescent="0.25">
      <c r="A59" s="1">
        <v>0.63194444444444398</v>
      </c>
      <c r="B59" s="1"/>
      <c r="C59">
        <v>26.4</v>
      </c>
      <c r="D59">
        <v>21</v>
      </c>
      <c r="E59">
        <v>18</v>
      </c>
      <c r="F59">
        <v>13.2</v>
      </c>
      <c r="H59">
        <f>D59-F59</f>
        <v>7.8000000000000007</v>
      </c>
      <c r="I59">
        <f>C59-E59</f>
        <v>8.3999999999999986</v>
      </c>
      <c r="K59">
        <f t="shared" si="0"/>
        <v>2.5727272727272732</v>
      </c>
      <c r="L59">
        <f t="shared" si="1"/>
        <v>3.8999999999999977</v>
      </c>
      <c r="N59">
        <f t="shared" si="2"/>
        <v>23.572727272727274</v>
      </c>
      <c r="O59">
        <f t="shared" si="3"/>
        <v>30.299999999999997</v>
      </c>
    </row>
    <row r="60" spans="1:15" x14ac:dyDescent="0.25">
      <c r="A60" s="1">
        <v>0.63541666666666596</v>
      </c>
      <c r="B60" s="1"/>
      <c r="C60">
        <v>28.4</v>
      </c>
      <c r="D60">
        <v>22.5</v>
      </c>
      <c r="E60">
        <v>18</v>
      </c>
      <c r="F60">
        <v>13.2</v>
      </c>
      <c r="H60">
        <f>D60-F60</f>
        <v>9.3000000000000007</v>
      </c>
      <c r="I60">
        <f>C60-E60</f>
        <v>10.399999999999999</v>
      </c>
      <c r="K60">
        <f t="shared" si="0"/>
        <v>4.0727272727272732</v>
      </c>
      <c r="L60">
        <f t="shared" si="1"/>
        <v>5.8999999999999977</v>
      </c>
      <c r="N60">
        <f t="shared" si="2"/>
        <v>26.572727272727274</v>
      </c>
      <c r="O60">
        <f t="shared" si="3"/>
        <v>34.299999999999997</v>
      </c>
    </row>
    <row r="61" spans="1:15" x14ac:dyDescent="0.25">
      <c r="A61" s="1">
        <v>0.63888888888888795</v>
      </c>
      <c r="B61" s="1"/>
      <c r="C61">
        <v>29.1</v>
      </c>
      <c r="D61">
        <v>22.6</v>
      </c>
      <c r="E61">
        <v>18</v>
      </c>
      <c r="F61">
        <v>13.2</v>
      </c>
      <c r="H61">
        <f>D61-F61</f>
        <v>9.4000000000000021</v>
      </c>
      <c r="I61">
        <f>C61-E61</f>
        <v>11.100000000000001</v>
      </c>
      <c r="K61">
        <f t="shared" si="0"/>
        <v>4.1727272727272746</v>
      </c>
      <c r="L61">
        <f t="shared" si="1"/>
        <v>6.6000000000000005</v>
      </c>
      <c r="N61">
        <f t="shared" si="2"/>
        <v>26.772727272727277</v>
      </c>
      <c r="O61">
        <f t="shared" si="3"/>
        <v>35.700000000000003</v>
      </c>
    </row>
    <row r="62" spans="1:15" x14ac:dyDescent="0.25">
      <c r="A62" s="1">
        <v>0.64236111111111105</v>
      </c>
      <c r="B62" s="1"/>
      <c r="C62">
        <v>27.1</v>
      </c>
      <c r="D62">
        <v>20.6</v>
      </c>
      <c r="E62">
        <v>18</v>
      </c>
      <c r="F62">
        <v>13.2</v>
      </c>
      <c r="H62">
        <f>D62-F62</f>
        <v>7.4000000000000021</v>
      </c>
      <c r="I62">
        <f>C62-E62</f>
        <v>9.1000000000000014</v>
      </c>
      <c r="K62">
        <f t="shared" si="0"/>
        <v>2.1727272727272746</v>
      </c>
      <c r="L62">
        <f t="shared" si="1"/>
        <v>4.6000000000000005</v>
      </c>
      <c r="N62">
        <f t="shared" si="2"/>
        <v>22.772727272727277</v>
      </c>
      <c r="O62">
        <f t="shared" si="3"/>
        <v>31.700000000000003</v>
      </c>
    </row>
    <row r="63" spans="1:15" x14ac:dyDescent="0.25">
      <c r="A63" s="1">
        <v>0.64583333333333304</v>
      </c>
      <c r="B63" s="1"/>
      <c r="C63">
        <v>26.1</v>
      </c>
      <c r="D63">
        <v>20.3</v>
      </c>
      <c r="E63">
        <v>18</v>
      </c>
      <c r="F63">
        <v>13.2</v>
      </c>
      <c r="H63">
        <f>D63-F63</f>
        <v>7.1000000000000014</v>
      </c>
      <c r="I63">
        <f>C63-E63</f>
        <v>8.1000000000000014</v>
      </c>
      <c r="K63">
        <f t="shared" si="0"/>
        <v>1.8727272727272739</v>
      </c>
      <c r="L63">
        <f t="shared" si="1"/>
        <v>3.6000000000000005</v>
      </c>
      <c r="N63">
        <f t="shared" si="2"/>
        <v>22.172727272727276</v>
      </c>
      <c r="O63">
        <f t="shared" si="3"/>
        <v>29.700000000000003</v>
      </c>
    </row>
    <row r="64" spans="1:15" x14ac:dyDescent="0.25">
      <c r="A64" s="1">
        <v>0.64930555555555503</v>
      </c>
      <c r="B64" s="1"/>
      <c r="C64">
        <v>28.1</v>
      </c>
      <c r="D64">
        <v>21.9</v>
      </c>
      <c r="E64">
        <v>18</v>
      </c>
      <c r="F64">
        <v>13.2</v>
      </c>
      <c r="H64">
        <f>D64-F64</f>
        <v>8.6999999999999993</v>
      </c>
      <c r="I64">
        <f>C64-E64</f>
        <v>10.100000000000001</v>
      </c>
      <c r="K64">
        <f t="shared" si="0"/>
        <v>3.4727272727272718</v>
      </c>
      <c r="L64">
        <f t="shared" si="1"/>
        <v>5.6000000000000005</v>
      </c>
      <c r="N64">
        <f t="shared" si="2"/>
        <v>25.372727272727271</v>
      </c>
      <c r="O64">
        <f t="shared" si="3"/>
        <v>33.700000000000003</v>
      </c>
    </row>
    <row r="65" spans="1:15" x14ac:dyDescent="0.25">
      <c r="A65" s="1">
        <v>0.65277777777777701</v>
      </c>
      <c r="B65" s="1"/>
      <c r="C65">
        <v>28.9</v>
      </c>
      <c r="D65">
        <v>22.2</v>
      </c>
      <c r="E65">
        <v>18</v>
      </c>
      <c r="F65">
        <v>13.1</v>
      </c>
      <c r="H65">
        <f>D65-F65</f>
        <v>9.1</v>
      </c>
      <c r="I65">
        <f>C65-E65</f>
        <v>10.899999999999999</v>
      </c>
      <c r="K65">
        <f t="shared" si="0"/>
        <v>3.8727272727272721</v>
      </c>
      <c r="L65">
        <f t="shared" si="1"/>
        <v>6.3999999999999977</v>
      </c>
      <c r="N65">
        <f t="shared" si="2"/>
        <v>26.072727272727271</v>
      </c>
      <c r="O65">
        <f t="shared" si="3"/>
        <v>35.299999999999997</v>
      </c>
    </row>
    <row r="66" spans="1:15" x14ac:dyDescent="0.25">
      <c r="A66" s="1">
        <v>0.656249999999999</v>
      </c>
      <c r="B66" s="1"/>
      <c r="C66">
        <v>32.1</v>
      </c>
      <c r="D66">
        <v>23.3</v>
      </c>
      <c r="E66">
        <v>18</v>
      </c>
      <c r="F66">
        <v>13.2</v>
      </c>
      <c r="H66">
        <f>D66-F66</f>
        <v>10.100000000000001</v>
      </c>
      <c r="I66">
        <f>C66-E66</f>
        <v>14.100000000000001</v>
      </c>
      <c r="K66">
        <f t="shared" si="0"/>
        <v>4.8727272727272739</v>
      </c>
      <c r="L66">
        <f t="shared" si="1"/>
        <v>9.6000000000000014</v>
      </c>
      <c r="N66">
        <f t="shared" si="2"/>
        <v>28.172727272727276</v>
      </c>
      <c r="O66">
        <f t="shared" si="3"/>
        <v>41.7</v>
      </c>
    </row>
    <row r="67" spans="1:15" x14ac:dyDescent="0.25">
      <c r="A67" s="1">
        <v>0.65972222222222199</v>
      </c>
      <c r="B67" s="1"/>
      <c r="C67">
        <v>30.3</v>
      </c>
      <c r="D67">
        <v>21.6</v>
      </c>
      <c r="E67">
        <v>18</v>
      </c>
      <c r="F67">
        <v>13.1</v>
      </c>
      <c r="H67">
        <f>D67-F67</f>
        <v>8.5000000000000018</v>
      </c>
      <c r="I67">
        <f>C67-E67</f>
        <v>12.3</v>
      </c>
      <c r="K67">
        <f t="shared" ref="K67:K77" si="4">H67-H$80</f>
        <v>3.2727272727272743</v>
      </c>
      <c r="L67">
        <f t="shared" ref="L67:L77" si="5">I67-I$80</f>
        <v>7.8</v>
      </c>
      <c r="N67">
        <f t="shared" ref="N67:N77" si="6">D67+K67</f>
        <v>24.872727272727275</v>
      </c>
      <c r="O67">
        <f t="shared" ref="O67:O77" si="7">C67+L67</f>
        <v>38.1</v>
      </c>
    </row>
    <row r="68" spans="1:15" x14ac:dyDescent="0.25">
      <c r="A68" s="1">
        <v>0.66319444444444398</v>
      </c>
      <c r="B68" s="1"/>
      <c r="C68">
        <v>29.3</v>
      </c>
      <c r="D68">
        <v>21</v>
      </c>
      <c r="E68">
        <v>18</v>
      </c>
      <c r="F68">
        <v>13.2</v>
      </c>
      <c r="H68">
        <f>D68-F68</f>
        <v>7.8000000000000007</v>
      </c>
      <c r="I68">
        <f>C68-E68</f>
        <v>11.3</v>
      </c>
      <c r="K68">
        <f t="shared" si="4"/>
        <v>2.5727272727272732</v>
      </c>
      <c r="L68">
        <f t="shared" si="5"/>
        <v>6.8</v>
      </c>
      <c r="N68">
        <f t="shared" si="6"/>
        <v>23.572727272727274</v>
      </c>
      <c r="O68">
        <f t="shared" si="7"/>
        <v>36.1</v>
      </c>
    </row>
    <row r="69" spans="1:15" x14ac:dyDescent="0.25">
      <c r="A69" s="1">
        <v>0.66666666666666596</v>
      </c>
      <c r="B69" s="1"/>
      <c r="C69">
        <v>28.9</v>
      </c>
      <c r="D69">
        <v>21.2</v>
      </c>
      <c r="E69">
        <v>18</v>
      </c>
      <c r="F69">
        <v>13.2</v>
      </c>
      <c r="H69">
        <f>D69-F69</f>
        <v>8</v>
      </c>
      <c r="I69">
        <f>C69-E69</f>
        <v>10.899999999999999</v>
      </c>
      <c r="K69">
        <f t="shared" si="4"/>
        <v>2.7727272727272725</v>
      </c>
      <c r="L69">
        <f t="shared" si="5"/>
        <v>6.3999999999999977</v>
      </c>
      <c r="N69">
        <f t="shared" si="6"/>
        <v>23.972727272727273</v>
      </c>
      <c r="O69">
        <f t="shared" si="7"/>
        <v>35.299999999999997</v>
      </c>
    </row>
    <row r="70" spans="1:15" x14ac:dyDescent="0.25">
      <c r="A70" s="1">
        <v>0.67013888888888795</v>
      </c>
      <c r="B70" s="1"/>
      <c r="C70">
        <v>27.9</v>
      </c>
      <c r="D70">
        <v>20.7</v>
      </c>
      <c r="E70">
        <v>18</v>
      </c>
      <c r="F70">
        <v>13.2</v>
      </c>
      <c r="H70">
        <f>D70-F70</f>
        <v>7.5</v>
      </c>
      <c r="I70">
        <f>C70-E70</f>
        <v>9.8999999999999986</v>
      </c>
      <c r="K70">
        <f t="shared" si="4"/>
        <v>2.2727272727272725</v>
      </c>
      <c r="L70">
        <f t="shared" si="5"/>
        <v>5.3999999999999977</v>
      </c>
      <c r="N70">
        <f t="shared" si="6"/>
        <v>22.972727272727273</v>
      </c>
      <c r="O70">
        <f t="shared" si="7"/>
        <v>33.299999999999997</v>
      </c>
    </row>
    <row r="71" spans="1:15" x14ac:dyDescent="0.25">
      <c r="A71" s="1">
        <v>0.67361111111111005</v>
      </c>
      <c r="B71" s="1"/>
      <c r="C71">
        <v>28</v>
      </c>
      <c r="D71">
        <v>21.2</v>
      </c>
      <c r="E71">
        <v>18</v>
      </c>
      <c r="F71">
        <v>13.1</v>
      </c>
      <c r="H71">
        <f>D71-F71</f>
        <v>8.1</v>
      </c>
      <c r="I71">
        <f>C71-E71</f>
        <v>10</v>
      </c>
      <c r="K71">
        <f t="shared" si="4"/>
        <v>2.8727272727272721</v>
      </c>
      <c r="L71">
        <f t="shared" si="5"/>
        <v>5.4999999999999991</v>
      </c>
      <c r="N71">
        <f t="shared" si="6"/>
        <v>24.072727272727271</v>
      </c>
      <c r="O71">
        <f t="shared" si="7"/>
        <v>33.5</v>
      </c>
    </row>
    <row r="72" spans="1:15" x14ac:dyDescent="0.25">
      <c r="A72" s="1">
        <v>0.67708333333333304</v>
      </c>
      <c r="B72" s="1"/>
      <c r="C72">
        <v>27.2</v>
      </c>
      <c r="D72">
        <v>20.6</v>
      </c>
      <c r="E72">
        <v>18</v>
      </c>
      <c r="F72">
        <v>13.1</v>
      </c>
      <c r="H72">
        <f>D72-F72</f>
        <v>7.5000000000000018</v>
      </c>
      <c r="I72">
        <f>C72-E72</f>
        <v>9.1999999999999993</v>
      </c>
      <c r="K72">
        <f t="shared" si="4"/>
        <v>2.2727272727272743</v>
      </c>
      <c r="L72">
        <f t="shared" si="5"/>
        <v>4.6999999999999984</v>
      </c>
      <c r="N72">
        <f t="shared" si="6"/>
        <v>22.872727272727275</v>
      </c>
      <c r="O72">
        <f t="shared" si="7"/>
        <v>31.9</v>
      </c>
    </row>
    <row r="73" spans="1:15" x14ac:dyDescent="0.25">
      <c r="A73" s="1">
        <v>0.68055555555555503</v>
      </c>
      <c r="B73" s="1"/>
      <c r="C73">
        <v>25.4</v>
      </c>
      <c r="D73">
        <v>19.5</v>
      </c>
      <c r="E73">
        <v>17.899999999999999</v>
      </c>
      <c r="F73">
        <v>13</v>
      </c>
      <c r="H73">
        <f>D73-F73</f>
        <v>6.5</v>
      </c>
      <c r="I73">
        <f>C73-E73</f>
        <v>7.5</v>
      </c>
      <c r="K73">
        <f t="shared" si="4"/>
        <v>1.2727272727272725</v>
      </c>
      <c r="L73">
        <f t="shared" si="5"/>
        <v>2.9999999999999991</v>
      </c>
      <c r="N73">
        <f t="shared" si="6"/>
        <v>20.772727272727273</v>
      </c>
      <c r="O73">
        <f t="shared" si="7"/>
        <v>28.4</v>
      </c>
    </row>
    <row r="74" spans="1:15" x14ac:dyDescent="0.25">
      <c r="A74" s="1">
        <v>0.68402777777777701</v>
      </c>
      <c r="B74" s="1"/>
      <c r="C74">
        <v>24.3</v>
      </c>
      <c r="D74">
        <v>18.8</v>
      </c>
      <c r="E74">
        <v>18</v>
      </c>
      <c r="F74">
        <v>13.1</v>
      </c>
      <c r="H74">
        <f>D74-F74</f>
        <v>5.7000000000000011</v>
      </c>
      <c r="I74">
        <f>C74-E74</f>
        <v>6.3000000000000007</v>
      </c>
      <c r="K74">
        <f t="shared" si="4"/>
        <v>0.47272727272727355</v>
      </c>
      <c r="L74">
        <f t="shared" si="5"/>
        <v>1.7999999999999998</v>
      </c>
      <c r="N74">
        <f t="shared" si="6"/>
        <v>19.272727272727273</v>
      </c>
      <c r="O74">
        <f t="shared" si="7"/>
        <v>26.1</v>
      </c>
    </row>
    <row r="75" spans="1:15" x14ac:dyDescent="0.25">
      <c r="A75" s="1">
        <v>0.687499999999999</v>
      </c>
      <c r="B75" s="1"/>
      <c r="C75">
        <v>24.4</v>
      </c>
      <c r="D75">
        <v>18.899999999999999</v>
      </c>
      <c r="E75">
        <v>18</v>
      </c>
      <c r="F75">
        <v>13.1</v>
      </c>
      <c r="H75">
        <f>D75-F75</f>
        <v>5.7999999999999989</v>
      </c>
      <c r="I75">
        <f>C75-E75</f>
        <v>6.3999999999999986</v>
      </c>
      <c r="K75">
        <f t="shared" si="4"/>
        <v>0.57272727272727142</v>
      </c>
      <c r="L75">
        <f t="shared" si="5"/>
        <v>1.8999999999999977</v>
      </c>
      <c r="N75">
        <f t="shared" si="6"/>
        <v>19.472727272727269</v>
      </c>
      <c r="O75">
        <f t="shared" si="7"/>
        <v>26.299999999999997</v>
      </c>
    </row>
    <row r="76" spans="1:15" x14ac:dyDescent="0.25">
      <c r="A76" s="1">
        <v>0.69097222222222199</v>
      </c>
      <c r="B76" s="1"/>
      <c r="C76">
        <v>24.2</v>
      </c>
      <c r="D76">
        <v>18.3</v>
      </c>
      <c r="E76">
        <v>18.899999999999999</v>
      </c>
      <c r="F76">
        <v>15.5</v>
      </c>
      <c r="H76">
        <f>D76-F76</f>
        <v>2.8000000000000007</v>
      </c>
      <c r="I76">
        <f>C76-E76</f>
        <v>5.3000000000000007</v>
      </c>
      <c r="K76">
        <f t="shared" si="4"/>
        <v>-2.4272727272727268</v>
      </c>
      <c r="L76">
        <f t="shared" si="5"/>
        <v>0.79999999999999982</v>
      </c>
      <c r="N76">
        <f t="shared" si="6"/>
        <v>15.872727272727275</v>
      </c>
      <c r="O76">
        <f t="shared" si="7"/>
        <v>25</v>
      </c>
    </row>
    <row r="77" spans="1:15" x14ac:dyDescent="0.25">
      <c r="A77" s="1">
        <v>0.69444444444444398</v>
      </c>
      <c r="B77" s="1"/>
      <c r="C77">
        <v>24.5</v>
      </c>
      <c r="D77">
        <v>19</v>
      </c>
      <c r="E77">
        <v>19.899999999999999</v>
      </c>
      <c r="F77">
        <v>16.8</v>
      </c>
      <c r="H77">
        <f>D77-F77</f>
        <v>2.1999999999999993</v>
      </c>
      <c r="I77">
        <f>C77-E77</f>
        <v>4.6000000000000014</v>
      </c>
      <c r="K77">
        <f t="shared" si="4"/>
        <v>-3.0272727272727282</v>
      </c>
      <c r="L77">
        <f t="shared" si="5"/>
        <v>0.10000000000000053</v>
      </c>
      <c r="N77">
        <f t="shared" si="6"/>
        <v>15.972727272727273</v>
      </c>
      <c r="O77">
        <f t="shared" si="7"/>
        <v>24.6</v>
      </c>
    </row>
    <row r="80" spans="1:15" x14ac:dyDescent="0.25">
      <c r="G80" t="s">
        <v>0</v>
      </c>
      <c r="H80">
        <f>AVERAGE(H28:H38)</f>
        <v>5.2272727272727275</v>
      </c>
      <c r="I80">
        <f>AVERAGE(I28:I38)</f>
        <v>4.5000000000000009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2025-09-01T05:51:07Z</dcterms:modified>
</cp:coreProperties>
</file>